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asure Dictionary" sheetId="1" state="visible" r:id="rId3"/>
    <sheet name="Summary" sheetId="2" state="visible" r:id="rId4"/>
    <sheet name="Parameters" sheetId="3" state="visible" r:id="rId5"/>
  </sheets>
  <definedNames>
    <definedName function="false" hidden="true" localSheetId="0" name="_xlnm._FilterDatabase" vbProcedure="false">'Measure Dictionary'!$A$1:$M$223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<sst xmlns="http://schemas.openxmlformats.org/spreadsheetml/2006/main" count="1514" uniqueCount="1032">
  <si>
    <t xml:space="preserve">ID</t>
  </si>
  <si>
    <t xml:space="preserve">Day</t>
  </si>
  <si>
    <t xml:space="preserve">Category</t>
  </si>
  <si>
    <t xml:space="preserve">Measure</t>
  </si>
  <si>
    <t xml:space="preserve">DAX formula</t>
  </si>
  <si>
    <t xml:space="preserve">Business purpose</t>
  </si>
  <si>
    <t xml:space="preserve">Depends on</t>
  </si>
  <si>
    <t xml:space="preserve">Format</t>
  </si>
  <si>
    <t xml:space="preserve">Expected value (Python check)</t>
  </si>
  <si>
    <t xml:space="preserve">Value in Power BI</t>
  </si>
  <si>
    <t xml:space="preserve">Matches? (formula)</t>
  </si>
  <si>
    <t xml:space="preserve">DAX Studio ms</t>
  </si>
  <si>
    <t xml:space="preserve">Tested (Y/N)</t>
  </si>
  <si>
    <t xml:space="preserve">D03-01</t>
  </si>
  <si>
    <t xml:space="preserve">Pool</t>
  </si>
  <si>
    <t xml:space="preserve">Total Outstanding Balance</t>
  </si>
  <si>
    <t xml:space="preserve">SUM ( FactLoanTape[CurrentBalance] )</t>
  </si>
  <si>
    <t xml:space="preserve">Current principal outstanding on the pool.</t>
  </si>
  <si>
    <t xml:space="preserve">#,##0</t>
  </si>
  <si>
    <t xml:space="preserve">D03-02</t>
  </si>
  <si>
    <t xml:space="preserve">Original Balance</t>
  </si>
  <si>
    <t xml:space="preserve">SUM ( DimLoan[OriginalLoanAmount] )</t>
  </si>
  <si>
    <t xml:space="preserve">Original principal advanced at origination.</t>
  </si>
  <si>
    <t xml:space="preserve">D03-03</t>
  </si>
  <si>
    <t xml:space="preserve">Pool Factor</t>
  </si>
  <si>
    <t xml:space="preserve">DIVIDE ( [Total Outstanding Balance], [Original Balance] )</t>
  </si>
  <si>
    <t xml:space="preserve">Share of original balance still outstanding.</t>
  </si>
  <si>
    <t xml:space="preserve">Original Balance, Total Outstanding Balance</t>
  </si>
  <si>
    <t xml:space="preserve">0.0%</t>
  </si>
  <si>
    <t xml:space="preserve">D03-04</t>
  </si>
  <si>
    <t xml:space="preserve">Total EAD</t>
  </si>
  <si>
    <t xml:space="preserve">SUM ( FactLoanTape[EAD] )</t>
  </si>
  <si>
    <t xml:space="preserve">Exposure at default used for ECL.</t>
  </si>
  <si>
    <t xml:space="preserve">D03-05</t>
  </si>
  <si>
    <t xml:space="preserve">Counts</t>
  </si>
  <si>
    <t xml:space="preserve">Loan Count</t>
  </si>
  <si>
    <t xml:space="preserve">COUNTROWS ( FactLoanTape )</t>
  </si>
  <si>
    <t xml:space="preserve">All loans on the tape.</t>
  </si>
  <si>
    <t xml:space="preserve">D03-06</t>
  </si>
  <si>
    <t xml:space="preserve">Active Loans</t>
  </si>
  <si>
    <t xml:space="preserve">CALCULATE ( COUNTROWS ( FactLoanTape ), FactLoanTape[CurrentBalance] &gt; 0 )</t>
  </si>
  <si>
    <t xml:space="preserve">Loans with a positive balance (24 loans carry zero balance).</t>
  </si>
  <si>
    <t xml:space="preserve">D03-07</t>
  </si>
  <si>
    <t xml:space="preserve">Defaulted Loans</t>
  </si>
  <si>
    <t xml:space="preserve">CALCULATE ( COUNTROWS ( FactLoanTape ), FactLoanTape[IsDefaulted] = 1 )</t>
  </si>
  <si>
    <t xml:space="preserve">Loans flagged Default or Repossessed.</t>
  </si>
  <si>
    <t xml:space="preserve">D03-08</t>
  </si>
  <si>
    <t xml:space="preserve">Prepaid Loans</t>
  </si>
  <si>
    <t xml:space="preserve">CALCULATE ( COUNTROWS ( FactLoanTape ), FactLoanTape[PrepaymentAmount] &gt; 0 )</t>
  </si>
  <si>
    <t xml:space="preserve">Loans with a voluntary prepayment.</t>
  </si>
  <si>
    <t xml:space="preserve">D03-09</t>
  </si>
  <si>
    <t xml:space="preserve">Balances</t>
  </si>
  <si>
    <t xml:space="preserve">Defaulted Balance</t>
  </si>
  <si>
    <t xml:space="preserve">CALCULATE ( [Total Outstanding Balance], FactLoanTape[IsDefaulted] = 1 )</t>
  </si>
  <si>
    <t xml:space="preserve">Outstanding balance of defaulted loans.</t>
  </si>
  <si>
    <t xml:space="preserve">D03-10</t>
  </si>
  <si>
    <t xml:space="preserve">Delinquency</t>
  </si>
  <si>
    <t xml:space="preserve">Balance Current</t>
  </si>
  <si>
    <t xml:space="preserve">CALCULATE ( [Total Outstanding Balance], FactLoanTape[DelinquencyStatus] = "Current" )</t>
  </si>
  <si>
    <t xml:space="preserve">Balance with no arrears.</t>
  </si>
  <si>
    <t xml:space="preserve">D03-11</t>
  </si>
  <si>
    <t xml:space="preserve">Balance 1-29 DPD</t>
  </si>
  <si>
    <t xml:space="preserve">CALCULATE ( [Total Outstanding Balance], FactLoanTape[DelinquencyStatus] = "1-29 DPD" )</t>
  </si>
  <si>
    <t xml:space="preserve">Balance 1-29 days past due.</t>
  </si>
  <si>
    <t xml:space="preserve">D03-12</t>
  </si>
  <si>
    <t xml:space="preserve">Balance 30 DPD</t>
  </si>
  <si>
    <t xml:space="preserve">CALCULATE ( [Total Outstanding Balance], FactLoanTape[DelinquencyStatus] = "30-59 DPD" )</t>
  </si>
  <si>
    <t xml:space="preserve">Balance 30-59 days past due.</t>
  </si>
  <si>
    <t xml:space="preserve">D03-13</t>
  </si>
  <si>
    <t xml:space="preserve">Balance 60 DPD</t>
  </si>
  <si>
    <t xml:space="preserve">CALCULATE ( [Total Outstanding Balance], FactLoanTape[DelinquencyStatus] = "60-89 DPD" )</t>
  </si>
  <si>
    <t xml:space="preserve">Balance 60-89 days past due.</t>
  </si>
  <si>
    <t xml:space="preserve">D03-14</t>
  </si>
  <si>
    <t xml:space="preserve">Balance 90 DPD</t>
  </si>
  <si>
    <t xml:space="preserve">CALCULATE ( [Total Outstanding Balance], FactLoanTape[DelinquencyStatus] = "90-119 DPD" )</t>
  </si>
  <si>
    <t xml:space="preserve">Balance 90-119 days past due.</t>
  </si>
  <si>
    <t xml:space="preserve">D03-15</t>
  </si>
  <si>
    <t xml:space="preserve">Balance 120+ DPD</t>
  </si>
  <si>
    <t xml:space="preserve">CALCULATE ( [Total Outstanding Balance], FactLoanTape[DelinquencyStatus] IN { "120+ DPD", "Default", "Repossessed" } )</t>
  </si>
  <si>
    <t xml:space="preserve">Balance 120+ DPD plus Default/Repossessed.</t>
  </si>
  <si>
    <t xml:space="preserve">D03-16</t>
  </si>
  <si>
    <t xml:space="preserve">Delinquent 30+ Balance</t>
  </si>
  <si>
    <t xml:space="preserve">CALCULATE ( [Total Outstanding Balance], FactLoanTape[DelinquencyDays] &gt;= 30 )</t>
  </si>
  <si>
    <t xml:space="preserve">Balance 30 or more days past due.</t>
  </si>
  <si>
    <t xml:space="preserve">D03-17</t>
  </si>
  <si>
    <t xml:space="preserve">Delinquent 30+ %</t>
  </si>
  <si>
    <t xml:space="preserve">DIVIDE ( [Delinquent 30+ Balance], [Total Outstanding Balance] )</t>
  </si>
  <si>
    <t xml:space="preserve">30+ DPD as % of pool balance (SMA-1 and worse).</t>
  </si>
  <si>
    <t xml:space="preserve">Delinquent 30+ Balance, Total Outstanding Balance</t>
  </si>
  <si>
    <t xml:space="preserve">D03-18</t>
  </si>
  <si>
    <t xml:space="preserve">Delinquent 60+ Balance</t>
  </si>
  <si>
    <t xml:space="preserve">CALCULATE ( [Total Outstanding Balance], FactLoanTape[DelinquencyDays] &gt;= 60 )</t>
  </si>
  <si>
    <t xml:space="preserve">Balance 60 or more days past due.</t>
  </si>
  <si>
    <t xml:space="preserve">D03-19</t>
  </si>
  <si>
    <t xml:space="preserve">Delinquent 60+ %</t>
  </si>
  <si>
    <t xml:space="preserve">DIVIDE ( [Delinquent 60+ Balance], [Total Outstanding Balance] )</t>
  </si>
  <si>
    <t xml:space="preserve">60+ DPD as % of pool; drives the delinquency trigger.</t>
  </si>
  <si>
    <t xml:space="preserve">Delinquent 60+ Balance, Total Outstanding Balance</t>
  </si>
  <si>
    <t xml:space="preserve">D03-20</t>
  </si>
  <si>
    <t xml:space="preserve">Delinquent 90+ Balance</t>
  </si>
  <si>
    <t xml:space="preserve">CALCULATE ( [Total Outstanding Balance], FactLoanTape[DelinquencyDays] &gt;= 90 )</t>
  </si>
  <si>
    <t xml:space="preserve">Balance 90 or more days past due (NPA).</t>
  </si>
  <si>
    <t xml:space="preserve">D03-21</t>
  </si>
  <si>
    <t xml:space="preserve">Delinquent 90+ %</t>
  </si>
  <si>
    <t xml:space="preserve">DIVIDE ( [Delinquent 90+ Balance], [Total Outstanding Balance] )</t>
  </si>
  <si>
    <t xml:space="preserve">NPA ratio.</t>
  </si>
  <si>
    <t xml:space="preserve">Delinquent 90+ Balance, Total Outstanding Balance</t>
  </si>
  <si>
    <t xml:space="preserve">D03-22</t>
  </si>
  <si>
    <t xml:space="preserve">Weighted avg</t>
  </si>
  <si>
    <t xml:space="preserve">WAC</t>
  </si>
  <si>
    <t xml:space="preserve">DIVIDE ( SUMX ( FactLoanTape, RELATED ( DimLoan[InterestRate] ) * FactLoanTape[CurrentBalance] ), [Total Outstanding Balance] ) / 100</t>
  </si>
  <si>
    <t xml:space="preserve">Weighted-average coupon (rate in tape is in % points).</t>
  </si>
  <si>
    <t xml:space="preserve">0.00%</t>
  </si>
  <si>
    <t xml:space="preserve">D03-23</t>
  </si>
  <si>
    <t xml:space="preserve">WAM</t>
  </si>
  <si>
    <t xml:space="preserve">DIVIDE ( SUMX ( FactLoanTape, FactLoanTape[RemainingTerm] * FactLoanTape[CurrentBalance] ), [Total Outstanding Balance] )</t>
  </si>
  <si>
    <t xml:space="preserve">Weighted-average remaining maturity (months).</t>
  </si>
  <si>
    <t xml:space="preserve">0.0</t>
  </si>
  <si>
    <t xml:space="preserve">D03-24</t>
  </si>
  <si>
    <t xml:space="preserve">WALA</t>
  </si>
  <si>
    <t xml:space="preserve">DIVIDE ( SUMX ( FactLoanTape, FactLoanTape[MonthsOnBook] * FactLoanTape[CurrentBalance] ), [Total Outstanding Balance] )</t>
  </si>
  <si>
    <t xml:space="preserve">Weighted-average loan age (months on book).</t>
  </si>
  <si>
    <t xml:space="preserve">D03-25</t>
  </si>
  <si>
    <t xml:space="preserve">WALT</t>
  </si>
  <si>
    <t xml:space="preserve">DIVIDE ( SUMX ( FactLoanTape, RELATED ( DimLoan[OriginalTerm] ) * FactLoanTape[CurrentBalance] ), [Total Outstanding Balance] )</t>
  </si>
  <si>
    <t xml:space="preserve">Weighted-average original loan term (months).</t>
  </si>
  <si>
    <t xml:space="preserve">D03-26</t>
  </si>
  <si>
    <t xml:space="preserve">WA LTV Origination</t>
  </si>
  <si>
    <t xml:space="preserve">DIVIDE ( SUMX ( FactLoanTape, FactLoanTape[LTV_AtOrigination] * FactLoanTape[CurrentBalance] ), [Total Outstanding Balance] )</t>
  </si>
  <si>
    <t xml:space="preserve">Balance-weighted LTV at origination.</t>
  </si>
  <si>
    <t xml:space="preserve">D03-27</t>
  </si>
  <si>
    <t xml:space="preserve">WA LTV Current</t>
  </si>
  <si>
    <t xml:space="preserve">DIVIDE ( SUMX ( FactLoanTape, FactLoanTape[LTV_Current] * FactLoanTape[CurrentBalance] ), [Total Outstanding Balance] )</t>
  </si>
  <si>
    <t xml:space="preserve">Balance-weighted current LTV.</t>
  </si>
  <si>
    <t xml:space="preserve">D03-28</t>
  </si>
  <si>
    <t xml:space="preserve">WA CIBIL</t>
  </si>
  <si>
    <t xml:space="preserve">DIVIDE ( SUMX ( FactLoanTape, FactLoanTape[CIBIL_Score_Current] * FactLoanTape[CurrentBalance] ), [Total Outstanding Balance] )</t>
  </si>
  <si>
    <t xml:space="preserve">Balance-weighted current CIBIL score.</t>
  </si>
  <si>
    <t xml:space="preserve">0</t>
  </si>
  <si>
    <t xml:space="preserve">D03-29</t>
  </si>
  <si>
    <t xml:space="preserve">WA CIBIL Origination</t>
  </si>
  <si>
    <t xml:space="preserve">DIVIDE ( SUMX ( FactLoanTape, FactLoanTape[CIBIL_Score_Origination] * FactLoanTape[CurrentBalance] ), [Total Outstanding Balance] )</t>
  </si>
  <si>
    <t xml:space="preserve">Balance-weighted CIBIL at origination.</t>
  </si>
  <si>
    <t xml:space="preserve">D03-30</t>
  </si>
  <si>
    <t xml:space="preserve">WA DTI</t>
  </si>
  <si>
    <t xml:space="preserve">DIVIDE ( SUMX ( FactLoanTape, FactLoanTape[DTI_Ratio] * FactLoanTape[CurrentBalance] ), [Total Outstanding Balance] )</t>
  </si>
  <si>
    <t xml:space="preserve">Balance-weighted debt-to-income.</t>
  </si>
  <si>
    <t xml:space="preserve">D03-31</t>
  </si>
  <si>
    <t xml:space="preserve">Average Loan Balance</t>
  </si>
  <si>
    <t xml:space="preserve">DIVIDE ( [Total Outstanding Balance], [Active Loans] )</t>
  </si>
  <si>
    <t xml:space="preserve">Mean balance of active loans.</t>
  </si>
  <si>
    <t xml:space="preserve">Active Loans, Total Outstanding Balance</t>
  </si>
  <si>
    <t xml:space="preserve">D03-32</t>
  </si>
  <si>
    <t xml:space="preserve">Largest Loan Balance</t>
  </si>
  <si>
    <t xml:space="preserve">MAX ( FactLoanTape[CurrentBalance] )</t>
  </si>
  <si>
    <t xml:space="preserve">Single largest exposure.</t>
  </si>
  <si>
    <t xml:space="preserve">D03-33</t>
  </si>
  <si>
    <t xml:space="preserve">Insured Loan %</t>
  </si>
  <si>
    <t xml:space="preserve">DIVIDE ( CALCULATE ( [Total Outstanding Balance], DimLoan[HasInsurance] = 1 ), [Total Outstanding Balance] )</t>
  </si>
  <si>
    <t xml:space="preserve">Balance share with any vehicle insurance.</t>
  </si>
  <si>
    <t xml:space="preserve">D03-34</t>
  </si>
  <si>
    <t xml:space="preserve">New Vehicle %</t>
  </si>
  <si>
    <t xml:space="preserve">DIVIDE ( CALCULATE ( [Total Outstanding Balance], DimVehicle[IsNewVehicle] = 1 ), [Total Outstanding Balance] )</t>
  </si>
  <si>
    <t xml:space="preserve">Balance share financing new vehicles.</t>
  </si>
  <si>
    <t xml:space="preserve">D03-35</t>
  </si>
  <si>
    <t xml:space="preserve">Modified Loan %</t>
  </si>
  <si>
    <t xml:space="preserve">DIVIDE ( CALCULATE ( COUNTROWS ( FactLoanTape ), DimLoan[IsModified] = 1 ), [Loan Count] )</t>
  </si>
  <si>
    <t xml:space="preserve">Share of loans restructured (deferral, extension, rate cut).</t>
  </si>
  <si>
    <t xml:space="preserve">D03-36</t>
  </si>
  <si>
    <t xml:space="preserve">Loss</t>
  </si>
  <si>
    <t xml:space="preserve">Total Prepayments</t>
  </si>
  <si>
    <t xml:space="preserve">SUM ( FactLoanTape[PrepaymentAmount] )</t>
  </si>
  <si>
    <t xml:space="preserve">Voluntary prepayments recorded on the tape.</t>
  </si>
  <si>
    <t xml:space="preserve">D03-37</t>
  </si>
  <si>
    <t xml:space="preserve">Total Loss Amount</t>
  </si>
  <si>
    <t xml:space="preserve">SUM ( FactLoanTape[LossAmount] )</t>
  </si>
  <si>
    <t xml:space="preserve">Gross realised loss on the tape.</t>
  </si>
  <si>
    <t xml:space="preserve">D03-38</t>
  </si>
  <si>
    <t xml:space="preserve">Total Recoveries</t>
  </si>
  <si>
    <t xml:space="preserve">SUM ( FactLoanTape[RecoveryAmount] )</t>
  </si>
  <si>
    <t xml:space="preserve">Recoveries on the tape.</t>
  </si>
  <si>
    <t xml:space="preserve">D03-39</t>
  </si>
  <si>
    <t xml:space="preserve">Total Net Loss (Tape)</t>
  </si>
  <si>
    <t xml:space="preserve">SUM ( FactLoanTape[NetLoss] )</t>
  </si>
  <si>
    <t xml:space="preserve">Net realised loss on the tape.</t>
  </si>
  <si>
    <t xml:space="preserve">D03-40</t>
  </si>
  <si>
    <t xml:space="preserve">Collections</t>
  </si>
  <si>
    <t xml:space="preserve">Payment Collection Rate</t>
  </si>
  <si>
    <t xml:space="preserve">DIVIDE ( SUM ( FactLoanTape[LastPaymentAmount] ), SUM ( FactLoanTape[ScheduledPaymentDue] ) )</t>
  </si>
  <si>
    <t xml:space="preserve">Last payment received vs scheduled payment due.</t>
  </si>
  <si>
    <t xml:space="preserve">D04-01</t>
  </si>
  <si>
    <t xml:space="preserve">Base</t>
  </si>
  <si>
    <t xml:space="preserve">Net Loss (Monthly)</t>
  </si>
  <si>
    <t xml:space="preserve">CALCULATE ( SUM ( FactDynamicLoss[NetLoss_ThisMonth] ), FactDynamicLoss[IncludeInTrend] = 1 )</t>
  </si>
  <si>
    <t xml:space="preserve">Monthly net loss (second 30-May row excluded - see Data Quality DQ08).</t>
  </si>
  <si>
    <t xml:space="preserve">D04-02</t>
  </si>
  <si>
    <t xml:space="preserve">Gross Loss (Monthly)</t>
  </si>
  <si>
    <t xml:space="preserve">CALCULATE ( SUM ( FactDynamicLoss[GrossLoss_ThisMonth] ), FactDynamicLoss[IncludeInTrend] = 1 )</t>
  </si>
  <si>
    <t xml:space="preserve">Monthly gross loss.</t>
  </si>
  <si>
    <t xml:space="preserve">D04-03</t>
  </si>
  <si>
    <t xml:space="preserve">Recoveries (Monthly)</t>
  </si>
  <si>
    <t xml:space="preserve">CALCULATE ( SUM ( FactDynamicLoss[Recoveries_ThisMonth] ), FactDynamicLoss[IncludeInTrend] = 1 )</t>
  </si>
  <si>
    <t xml:space="preserve">Monthly recoveries.</t>
  </si>
  <si>
    <t xml:space="preserve">D04-04</t>
  </si>
  <si>
    <t xml:space="preserve">New Defaults Balance (Monthly)</t>
  </si>
  <si>
    <t xml:space="preserve">CALCULATE ( SUM ( FactDynamicLoss[NewDefaults_Balance] ), FactDynamicLoss[IncludeInTrend] = 1 )</t>
  </si>
  <si>
    <t xml:space="preserve">Balance newly defaulted in the month.</t>
  </si>
  <si>
    <t xml:space="preserve">D04-05</t>
  </si>
  <si>
    <t xml:space="preserve">BOP Balance (Monthly)</t>
  </si>
  <si>
    <t xml:space="preserve">CALCULATE ( SUM ( FactDynamicLoss[BOP_Balance] ), FactDynamicLoss[IncludeInTrend] = 1 )</t>
  </si>
  <si>
    <t xml:space="preserve">Beginning-of-period pool balance.</t>
  </si>
  <si>
    <t xml:space="preserve">D04-06</t>
  </si>
  <si>
    <t xml:space="preserve">Monthly Default Rate</t>
  </si>
  <si>
    <t xml:space="preserve">DIVIDE ( [New Defaults Balance (Monthly)], [BOP Balance (Monthly)] )</t>
  </si>
  <si>
    <t xml:space="preserve">New defaults / opening balance.</t>
  </si>
  <si>
    <t xml:space="preserve">BOP Balance (Monthly), New Defaults Balance (Monthly)</t>
  </si>
  <si>
    <t xml:space="preserve">0.000%</t>
  </si>
  <si>
    <t xml:space="preserve">D04-07</t>
  </si>
  <si>
    <t xml:space="preserve">Monthly Net Loss Rate</t>
  </si>
  <si>
    <t xml:space="preserve">DIVIDE ( [Net Loss (Monthly)], [BOP Balance (Monthly)] )</t>
  </si>
  <si>
    <t xml:space="preserve">Net loss / opening balance.</t>
  </si>
  <si>
    <t xml:space="preserve">BOP Balance (Monthly), Net Loss (Monthly)</t>
  </si>
  <si>
    <t xml:space="preserve">D04-08</t>
  </si>
  <si>
    <t xml:space="preserve">To-date</t>
  </si>
  <si>
    <t xml:space="preserve">Net Loss MTD</t>
  </si>
  <si>
    <t xml:space="preserve">TOTALMTD ( [Net Loss (Monthly)], DimDate[Date] )</t>
  </si>
  <si>
    <t xml:space="preserve">Month-to-date net loss.</t>
  </si>
  <si>
    <t xml:space="preserve">D04-09</t>
  </si>
  <si>
    <t xml:space="preserve">Net Loss QTD</t>
  </si>
  <si>
    <t xml:space="preserve">TOTALQTD ( [Net Loss (Monthly)], DimDate[Date] )</t>
  </si>
  <si>
    <t xml:space="preserve">Quarter-to-date net loss.</t>
  </si>
  <si>
    <t xml:space="preserve">D04-10</t>
  </si>
  <si>
    <t xml:space="preserve">Net Loss YTD</t>
  </si>
  <si>
    <t xml:space="preserve">TOTALYTD ( [Net Loss (Monthly)], DimDate[Date] )</t>
  </si>
  <si>
    <t xml:space="preserve">Calendar year-to-date net loss.</t>
  </si>
  <si>
    <t xml:space="preserve">D04-11</t>
  </si>
  <si>
    <t xml:space="preserve">Net Loss FYTD</t>
  </si>
  <si>
    <t xml:space="preserve">VAR fy = MAX ( DimDate[FiscalYear] )
VAR d  = MAX ( DimDate[Date] )
RETURN CALCULATE ( [Net Loss (Monthly)], FILTER ( ALL ( DimDate ), DimDate[FiscalYear] = fy &amp;&amp; DimDate[Date] &lt;= d ) )</t>
  </si>
  <si>
    <t xml:space="preserve">Indian fiscal year-to-date (April-March) net loss; built on DimDate[FiscalYear] so it does not depend on locale date strings.</t>
  </si>
  <si>
    <t xml:space="preserve">D04-12</t>
  </si>
  <si>
    <t xml:space="preserve">Comparison</t>
  </si>
  <si>
    <t xml:space="preserve">Net Loss Prior Month</t>
  </si>
  <si>
    <t xml:space="preserve">CALCULATE ( [Net Loss (Monthly)], DATEADD ( DimDate[Date], -1, MONTH ) )</t>
  </si>
  <si>
    <t xml:space="preserve">Net loss one month earlier.</t>
  </si>
  <si>
    <t xml:space="preserve">D04-13</t>
  </si>
  <si>
    <t xml:space="preserve">Net Loss MoM %</t>
  </si>
  <si>
    <t xml:space="preserve">DIVIDE ( [Net Loss (Monthly)] - [Net Loss Prior Month], [Net Loss Prior Month] )</t>
  </si>
  <si>
    <t xml:space="preserve">Month-on-month change in net loss.</t>
  </si>
  <si>
    <t xml:space="preserve">Net Loss (Monthly), Net Loss Prior Month</t>
  </si>
  <si>
    <t xml:space="preserve">D04-14</t>
  </si>
  <si>
    <t xml:space="preserve">Default Rate Prior Quarter</t>
  </si>
  <si>
    <t xml:space="preserve">CALCULATE ( [Monthly Default Rate], DATEADD ( DimDate[Date], -1, QUARTER ) )</t>
  </si>
  <si>
    <t xml:space="preserve">Monthly default rate one quarter earlier.</t>
  </si>
  <si>
    <t xml:space="preserve">D04-15</t>
  </si>
  <si>
    <t xml:space="preserve">Default Rate QoQ Change</t>
  </si>
  <si>
    <t xml:space="preserve">[Monthly Default Rate] - [Default Rate Prior Quarter]</t>
  </si>
  <si>
    <t xml:space="preserve">Quarter-on-quarter change (pts).</t>
  </si>
  <si>
    <t xml:space="preserve">Default Rate Prior Quarter, Monthly Default Rate</t>
  </si>
  <si>
    <t xml:space="preserve">D04-16</t>
  </si>
  <si>
    <t xml:space="preserve">Default Rate vs Prior Year</t>
  </si>
  <si>
    <t xml:space="preserve">CALCULATE ( [Monthly Default Rate], SAMEPERIODLASTYEAR ( DimDate[Date] ) )</t>
  </si>
  <si>
    <t xml:space="preserve">Prior-year comparator (blank: file covers &lt; 12 months).</t>
  </si>
  <si>
    <t xml:space="preserve">D04-17</t>
  </si>
  <si>
    <t xml:space="preserve">Rolling</t>
  </si>
  <si>
    <t xml:space="preserve">Rolling 3M Default Rate</t>
  </si>
  <si>
    <t xml:space="preserve">VAR LastD = MAX ( FactDynamicLoss[MonthEnd] )
VAR Win = DATESINPERIOD ( DimDate[Date], LastD, -3, MONTH )
RETURN DIVIDE ( CALCULATE ( [New Defaults Balance (Monthly)], Win ), CALCULATE ( [BOP Balance (Monthly)], Win ) )</t>
  </si>
  <si>
    <t xml:space="preserve">Balance-weighted default rate over the trailing 3 months.</t>
  </si>
  <si>
    <t xml:space="preserve">D04-18</t>
  </si>
  <si>
    <t xml:space="preserve">Rolling 12M Default Rate</t>
  </si>
  <si>
    <t xml:space="preserve">VAR LastD = MAX ( FactDynamicLoss[MonthEnd] )
VAR Win = DATESINPERIOD ( DimDate[Date], LastD, -12, MONTH )
RETURN DIVIDE ( CALCULATE ( [New Defaults Balance (Monthly)], Win ), CALCULATE ( [BOP Balance (Monthly)], Win ) )</t>
  </si>
  <si>
    <t xml:space="preserve">Balance-weighted default rate over the trailing 12 months.</t>
  </si>
  <si>
    <t xml:space="preserve">D04-19</t>
  </si>
  <si>
    <t xml:space="preserve">Rolling 3M Net Loss Rate</t>
  </si>
  <si>
    <t xml:space="preserve">VAR LastD = MAX ( FactDynamicLoss[MonthEnd] )
VAR Win = DATESINPERIOD ( DimDate[Date], LastD, -3, MONTH )
RETURN DIVIDE ( CALCULATE ( [Net Loss (Monthly)], Win ), CALCULATE ( [BOP Balance (Monthly)], Win ) )</t>
  </si>
  <si>
    <t xml:space="preserve">Trailing 3-month net loss rate.</t>
  </si>
  <si>
    <t xml:space="preserve">D04-20</t>
  </si>
  <si>
    <t xml:space="preserve">Alerts</t>
  </si>
  <si>
    <t xml:space="preserve">Default Rate 12M Average</t>
  </si>
  <si>
    <t xml:space="preserve">VAR LastD = MAX ( FactDynamicLoss[MonthEnd] )
VAR Months12 =
    CALCULATETABLE ( VALUES ( DimDate[Date] ), DATESINPERIOD ( DimDate[Date], LastD, -12, MONTH ), DimDate[IsMonthEnd] = 1 )
RETURN AVERAGEX ( Months12, [Monthly Default Rate] )</t>
  </si>
  <si>
    <t xml:space="preserve">Mean monthly default rate over 12 months.</t>
  </si>
  <si>
    <t xml:space="preserve">D04-21</t>
  </si>
  <si>
    <t xml:space="preserve">Default Rate 12M StdDev</t>
  </si>
  <si>
    <t xml:space="preserve">VAR LastD = MAX ( FactDynamicLoss[MonthEnd] )
VAR Months12 =
    CALCULATETABLE ( VALUES ( DimDate[Date] ), DATESINPERIOD ( DimDate[Date], LastD, -12, MONTH ), DimDate[IsMonthEnd] = 1 )
RETURN STDEVX.P ( Months12, [Monthly Default Rate] )</t>
  </si>
  <si>
    <t xml:space="preserve">Standard deviation of monthly default rate.</t>
  </si>
  <si>
    <t xml:space="preserve">D04-22</t>
  </si>
  <si>
    <t xml:space="preserve">Default Rate Z-Score</t>
  </si>
  <si>
    <t xml:space="preserve">DIVIDE ( [Monthly Default Rate] - [Default Rate 12M Average], [Default Rate 12M StdDev] )</t>
  </si>
  <si>
    <t xml:space="preserve">Standard deviations from the 12-month average.</t>
  </si>
  <si>
    <t xml:space="preserve">Default Rate 12M Average, Default Rate 12M StdDev, Monthly Default Rate</t>
  </si>
  <si>
    <t xml:space="preserve">0.00</t>
  </si>
  <si>
    <t xml:space="preserve">D04-23</t>
  </si>
  <si>
    <t xml:space="preserve">Default Rate Trend Alert</t>
  </si>
  <si>
    <t xml:space="preserve">IF ( ABS ( [Default Rate Z-Score] ) &gt; 2, "ALERT: &gt; 2 std dev", "Within range" )</t>
  </si>
  <si>
    <t xml:space="preserve">Flags metrics moving more than 2 std dev from their 12M average (brief Day 4).</t>
  </si>
  <si>
    <t xml:space="preserve">D04-24</t>
  </si>
  <si>
    <t xml:space="preserve">Delinquency 30+ Z-Score</t>
  </si>
  <si>
    <t xml:space="preserve">VAR LastD = MAX ( FactDynamicLoss[MonthEnd] )
VAR Months12 =
    CALCULATETABLE ( VALUES ( DimDate[Date] ), DATESINPERIOD ( DimDate[Date], LastD, -12, MONTH ), DimDate[IsMonthEnd] = 1 )
VAR Cur = [DPD 30+ % (Date View)]
RETURN DIVIDE ( Cur - AVERAGEX ( Months12, [DPD 30+ % (Date View)] ), STDEVX.P ( Months12, [DPD 30+ % (Date View)] ) )</t>
  </si>
  <si>
    <t xml:space="preserve">Z-score of 30+ DPD share vs its 12M history.</t>
  </si>
  <si>
    <t xml:space="preserve">DPD 30+ % (Date View)</t>
  </si>
  <si>
    <t xml:space="preserve">D05-01</t>
  </si>
  <si>
    <t xml:space="preserve">Strat</t>
  </si>
  <si>
    <t xml:space="preserve">Pool Share %</t>
  </si>
  <si>
    <t xml:space="preserve">DIVIDE ( [Total Outstanding Balance], CALCULATE ( [Total Outstanding Balance], ALLSELECTED () ) )</t>
  </si>
  <si>
    <t xml:space="preserve">Share of the selected pool - use with any stratification axis (LTV band, CIBIL band, vintage).</t>
  </si>
  <si>
    <t xml:space="preserve">D05-02</t>
  </si>
  <si>
    <t xml:space="preserve">LTV &gt; 90% Share</t>
  </si>
  <si>
    <t xml:space="preserve">DIVIDE ( CALCULATE ( [Total Outstanding Balance], FactLoanTape[LTV_Current] &gt; 0.9 ), [Total Outstanding Balance] )</t>
  </si>
  <si>
    <t xml:space="preserve">Balance share with current LTV above 90%.</t>
  </si>
  <si>
    <t xml:space="preserve">D05-03</t>
  </si>
  <si>
    <t xml:space="preserve">CIBIL &lt; 650 Share</t>
  </si>
  <si>
    <t xml:space="preserve">DIVIDE ( CALCULATE ( [Total Outstanding Balance], FactLoanTape[CIBIL_Score_Current] &lt; 650 ), [Total Outstanding Balance] )</t>
  </si>
  <si>
    <t xml:space="preserve">Balance share with sub-650 CIBIL.</t>
  </si>
  <si>
    <t xml:space="preserve">D05-04</t>
  </si>
  <si>
    <t xml:space="preserve">Concentration</t>
  </si>
  <si>
    <t xml:space="preserve">Top 3 States</t>
  </si>
  <si>
    <t xml:space="preserve">CONCATENATEX (
    TOPN ( 3, VALUES ( DimGeography[State] ), [Total Outstanding Balance], DESC ),
    DimGeography[State] &amp; " " &amp; FORMAT ( DIVIDE ( [Total Outstanding Balance], CALCULATE ( [Total Outstanding Balance], ALLSELECTED ( DimGeography ) ) ), "0.0%" ),
    ", ", [Total Outstanding Balance], DESC )</t>
  </si>
  <si>
    <t xml:space="preserve">Text label of the three largest states with their share.</t>
  </si>
  <si>
    <t xml:space="preserve">D05-05</t>
  </si>
  <si>
    <t xml:space="preserve">Top 5 State Concentration</t>
  </si>
  <si>
    <t xml:space="preserve">DIVIDE ( SUMX ( TOPN ( 5, VALUES ( DimGeography[State] ), [Total Outstanding Balance], DESC ), [Total Outstanding Balance] ), [Total Outstanding Balance] )</t>
  </si>
  <si>
    <t xml:space="preserve">Share of the pool in the five largest states (TOPN virtual table).</t>
  </si>
  <si>
    <t xml:space="preserve">D05-06</t>
  </si>
  <si>
    <t xml:space="preserve">Top 10 Loan Concentration</t>
  </si>
  <si>
    <t xml:space="preserve">DIVIDE ( SUMX ( TOPN ( 10, VALUES ( DimLoan[LoanID] ), [Total Outstanding Balance], DESC ), [Total Outstanding Balance] ), [Total Outstanding Balance] )</t>
  </si>
  <si>
    <t xml:space="preserve">Share held by the ten largest loans.</t>
  </si>
  <si>
    <t xml:space="preserve">D05-07</t>
  </si>
  <si>
    <t xml:space="preserve">Top 10 Borrower Concentration</t>
  </si>
  <si>
    <t xml:space="preserve">DIVIDE ( SUMX ( TOPN ( 10, VALUES ( DimBorrower[BorrowerID] ), [Total Outstanding Balance], DESC ), [Total Outstanding Balance] ), [Total Outstanding Balance] )</t>
  </si>
  <si>
    <t xml:space="preserve">Share held by the ten largest borrowers.</t>
  </si>
  <si>
    <t xml:space="preserve">D05-08</t>
  </si>
  <si>
    <t xml:space="preserve">HHI State</t>
  </si>
  <si>
    <t xml:space="preserve">VAR Tot = [Total Outstanding Balance]
RETURN SUMX ( VALUES ( DimGeography[State] ), POWER ( DIVIDE ( [Total Outstanding Balance], Tot ), 2 ) )</t>
  </si>
  <si>
    <t xml:space="preserve">Herfindahl-Hirschman Index by state (0-1).</t>
  </si>
  <si>
    <t xml:space="preserve">0.0000</t>
  </si>
  <si>
    <t xml:space="preserve">D05-09</t>
  </si>
  <si>
    <t xml:space="preserve">HHI Servicer</t>
  </si>
  <si>
    <t xml:space="preserve">VAR Tot = [Total Outstanding Balance]
RETURN SUMX ( VALUES ( DimLoan[ServicerName] ), POWER ( DIVIDE ( [Total Outstanding Balance], Tot ), 2 ) )</t>
  </si>
  <si>
    <t xml:space="preserve">HHI by servicer.</t>
  </si>
  <si>
    <t xml:space="preserve">D05-10</t>
  </si>
  <si>
    <t xml:space="preserve">HHI Vehicle Make</t>
  </si>
  <si>
    <t xml:space="preserve">VAR Tot = [Total Outstanding Balance]
RETURN SUMX ( VALUES ( DimVehicle[VehicleMake] ), POWER ( DIVIDE ( [Total Outstanding Balance], Tot ), 2 ) )</t>
  </si>
  <si>
    <t xml:space="preserve">HHI by vehicle manufacturer.</t>
  </si>
  <si>
    <t xml:space="preserve">D05-11</t>
  </si>
  <si>
    <t xml:space="preserve">HHI Borrower</t>
  </si>
  <si>
    <t xml:space="preserve">VAR Tot = [Total Outstanding Balance]
RETURN SUMX ( VALUES ( DimBorrower[BorrowerID] ), POWER ( DIVIDE ( [Total Outstanding Balance], Tot ), 2 ) )</t>
  </si>
  <si>
    <t xml:space="preserve">HHI by borrower (borrower IDs are unique in this tape).</t>
  </si>
  <si>
    <t xml:space="preserve">D05-12</t>
  </si>
  <si>
    <t xml:space="preserve">Ranking</t>
  </si>
  <si>
    <t xml:space="preserve">State Rank</t>
  </si>
  <si>
    <t xml:space="preserve">RANKX ( ALLSELECTED ( DimGeography[State] ), [Total Outstanding Balance], , DESC, DENSE )</t>
  </si>
  <si>
    <t xml:space="preserve">Rank of each state by balance.</t>
  </si>
  <si>
    <t xml:space="preserve">D05-13</t>
  </si>
  <si>
    <t xml:space="preserve">Distinct States</t>
  </si>
  <si>
    <t xml:space="preserve">DISTINCTCOUNT ( DimLoan[State] )</t>
  </si>
  <si>
    <t xml:space="preserve">Number of states in the selection.</t>
  </si>
  <si>
    <t xml:space="preserve">D05-14</t>
  </si>
  <si>
    <t xml:space="preserve">Context transition</t>
  </si>
  <si>
    <t xml:space="preserve">Portfolio ECL (Context Transition)</t>
  </si>
  <si>
    <t xml:space="preserve">SUMX (
    FactLoanTape,
    CALCULATE ( AVERAGE ( FactLoanTape[PD_Estimate] ) * AVERAGE ( FactLoanTape[LGD_Estimate] ) ) * FactLoanTape[EAD]
)</t>
  </si>
  <si>
    <t xml:space="preserve">Context-transition demonstration: CALCULATE inside SUMX turns each row into a filter context (brief Day 5).</t>
  </si>
  <si>
    <t xml:space="preserve">D06-01</t>
  </si>
  <si>
    <t xml:space="preserve">Pool cash flow</t>
  </si>
  <si>
    <t xml:space="preserve">Ending Pool Balance</t>
  </si>
  <si>
    <t xml:space="preserve">VAR p = MAX ( FactPool[period] )
RETURN CALCULATE ( SUM ( FactPool[ending_pool] ), FactPool[period] = p )</t>
  </si>
  <si>
    <t xml:space="preserve">Pool balance at the last period in context.</t>
  </si>
  <si>
    <t xml:space="preserve">D06-02</t>
  </si>
  <si>
    <t xml:space="preserve">Interest Collected</t>
  </si>
  <si>
    <t xml:space="preserve">SUM ( FactPool[interest_collected] )</t>
  </si>
  <si>
    <t xml:space="preserve">Interest collections.</t>
  </si>
  <si>
    <t xml:space="preserve">D06-03</t>
  </si>
  <si>
    <t xml:space="preserve">Servicing Fees</t>
  </si>
  <si>
    <t xml:space="preserve">SUM ( FactPool[servicing_fees] )</t>
  </si>
  <si>
    <t xml:space="preserve">Senior servicing fee (0.5% p.a., assumption).</t>
  </si>
  <si>
    <t xml:space="preserve">D06-04</t>
  </si>
  <si>
    <t xml:space="preserve">Net Loss (Projected)</t>
  </si>
  <si>
    <t xml:space="preserve">SUM ( FactPool[net_loss] )</t>
  </si>
  <si>
    <t xml:space="preserve">Projected net loss under the scenario.</t>
  </si>
  <si>
    <t xml:space="preserve">D06-05</t>
  </si>
  <si>
    <t xml:space="preserve">Excess Spread</t>
  </si>
  <si>
    <t xml:space="preserve">SUM ( FactPool[excess_spread] )</t>
  </si>
  <si>
    <t xml:space="preserve">Interest left after fees and note coupons.</t>
  </si>
  <si>
    <t xml:space="preserve">D06-06</t>
  </si>
  <si>
    <t xml:space="preserve">Excess Spread % (annualised)</t>
  </si>
  <si>
    <t xml:space="preserve">DIVIDE ( SUM ( FactPool[excess_spread] ), SUM ( FactPool[beginning_pool] ) ) * 12</t>
  </si>
  <si>
    <t xml:space="preserve">Annualised excess spread / pool balance.</t>
  </si>
  <si>
    <t xml:space="preserve">D06-07</t>
  </si>
  <si>
    <t xml:space="preserve">Cumulative Loss % (Projected)</t>
  </si>
  <si>
    <t xml:space="preserve">VAR p = MAX ( FactPool[period] )
RETURN CALCULATE ( MAX ( FactPool[cumulative_loss_pct] ), FactPool[period] = p )</t>
  </si>
  <si>
    <t xml:space="preserve">Cumulative projected net loss / opening pool at the period in context.</t>
  </si>
  <si>
    <t xml:space="preserve">D06-08</t>
  </si>
  <si>
    <t xml:space="preserve">OC Ratio</t>
  </si>
  <si>
    <t xml:space="preserve">VAR p = MAX ( FactPool[period] )
RETURN CALCULATE ( MAX ( FactPool[oc_ratio] ), FactPool[period] = p )</t>
  </si>
  <si>
    <t xml:space="preserve">Pool balance / (Class A+B+C notes).</t>
  </si>
  <si>
    <t xml:space="preserve">0.000</t>
  </si>
  <si>
    <t xml:space="preserve">D06-09</t>
  </si>
  <si>
    <t xml:space="preserve">Tranche</t>
  </si>
  <si>
    <t xml:space="preserve">Tranche Beginning Balance</t>
  </si>
  <si>
    <t xml:space="preserve">VAR p = MIN ( FactWaterfall[period] )
RETURN CALCULATE ( SUM ( FactWaterfall[beginning_balance] ), FactWaterfall[period] = p )</t>
  </si>
  <si>
    <t xml:space="preserve">Opening note balance for the first period in context.</t>
  </si>
  <si>
    <t xml:space="preserve">D06-10</t>
  </si>
  <si>
    <t xml:space="preserve">Tranche Ending Balance</t>
  </si>
  <si>
    <t xml:space="preserve">VAR p = MAX ( FactWaterfall[period] )
RETURN CALCULATE ( SUM ( FactWaterfall[ending_balance] ), FactWaterfall[period] = p )</t>
  </si>
  <si>
    <t xml:space="preserve">Closing note balance at the last period in context.</t>
  </si>
  <si>
    <t xml:space="preserve">D06-11</t>
  </si>
  <si>
    <t xml:space="preserve">Interest Due</t>
  </si>
  <si>
    <t xml:space="preserve">SUM ( FactWaterfall[interest_due] )</t>
  </si>
  <si>
    <t xml:space="preserve">Coupon due.</t>
  </si>
  <si>
    <t xml:space="preserve">D06-12</t>
  </si>
  <si>
    <t xml:space="preserve">Interest Paid</t>
  </si>
  <si>
    <t xml:space="preserve">SUM ( FactWaterfall[interest_paid] )</t>
  </si>
  <si>
    <t xml:space="preserve">Coupon paid out of available interest.</t>
  </si>
  <si>
    <t xml:space="preserve">D06-13</t>
  </si>
  <si>
    <t xml:space="preserve">Interest Shortfall</t>
  </si>
  <si>
    <t xml:space="preserve">[Interest Due] - [Interest Paid]</t>
  </si>
  <si>
    <t xml:space="preserve">Unpaid coupon.</t>
  </si>
  <si>
    <t xml:space="preserve">Interest Due, Interest Paid</t>
  </si>
  <si>
    <t xml:space="preserve">D06-14</t>
  </si>
  <si>
    <t xml:space="preserve">Principal Paid</t>
  </si>
  <si>
    <t xml:space="preserve">SUM ( FactWaterfall[principal_paid] )</t>
  </si>
  <si>
    <t xml:space="preserve">Principal distributed (sequential A &gt; B &gt; C &gt; Equity).</t>
  </si>
  <si>
    <t xml:space="preserve">D06-15</t>
  </si>
  <si>
    <t xml:space="preserve">Tranche Writedown</t>
  </si>
  <si>
    <t xml:space="preserve">SUM ( FactWaterfall[writedown] )</t>
  </si>
  <si>
    <t xml:space="preserve">Losses allocated to the tranche (Equity first, Class A last).</t>
  </si>
  <si>
    <t xml:space="preserve">D06-16</t>
  </si>
  <si>
    <t xml:space="preserve">Writedown % of Tranche</t>
  </si>
  <si>
    <t xml:space="preserve">DIVIDE ( [Tranche Writedown], CALCULATE ( SUM ( FactWaterfall[beginning_balance] ), FactWaterfall[period] = 1 ) )</t>
  </si>
  <si>
    <t xml:space="preserve">Share of original tranche balance written down.</t>
  </si>
  <si>
    <t xml:space="preserve">D06-17</t>
  </si>
  <si>
    <t xml:space="preserve">Credit Enhancement %</t>
  </si>
  <si>
    <t xml:space="preserve">MAX ( DimTranche[attachment] )</t>
  </si>
  <si>
    <t xml:space="preserve">Subordination below the tranche (attachment point).</t>
  </si>
  <si>
    <t xml:space="preserve">D06-18</t>
  </si>
  <si>
    <t xml:space="preserve">Tranche Loss % (Attach-Detach)</t>
  </si>
  <si>
    <t xml:space="preserve">VAR CumLoss = [Cumulative Loss % (Projected)]
VAR Attach  = MAX ( DimTranche[attachment] )
VAR Detach  = MAX ( DimTranche[detachment] )
RETURN DIVIDE ( MAX ( 0, MIN ( CumLoss, Detach ) - Attach ), Detach - Attach )</t>
  </si>
  <si>
    <t xml:space="preserve">Closed-form tranche loss from pool loss and attachment/detachment points; cross-checks the cash-flow write-down.</t>
  </si>
  <si>
    <t xml:space="preserve">D06-19</t>
  </si>
  <si>
    <t xml:space="preserve">Principal Available</t>
  </si>
  <si>
    <t xml:space="preserve">SUM ( FactPool[scheduled_principal] ) + SUM ( FactPool[prepayments] ) + SUM ( FactPool[recoveries] ) + SUM ( FactPool[excess_spread_used_for_losses] )</t>
  </si>
  <si>
    <t xml:space="preserve">Cash available for sequential principal pay-down.</t>
  </si>
  <si>
    <t xml:space="preserve">D06-20</t>
  </si>
  <si>
    <t xml:space="preserve">Principal to Class A</t>
  </si>
  <si>
    <t xml:space="preserve">VAR BalA = CALCULATE ( SUM ( FactWaterfall[beginning_balance] ), DimTranche[tranche] = "Class A (Senior)" )
RETURN MIN ( [Principal Available], BalA )</t>
  </si>
  <si>
    <t xml:space="preserve">Sequential allocation: senior class receives principal first.</t>
  </si>
  <si>
    <t xml:space="preserve">D06-21</t>
  </si>
  <si>
    <t xml:space="preserve">Principal to Class B</t>
  </si>
  <si>
    <t xml:space="preserve">VAR BalB = CALCULATE ( SUM ( FactWaterfall[beginning_balance] ), DimTranche[tranche] = "Class B (Mezzanine)" )
RETURN MIN ( MAX ( [Principal Available] - [Principal to Class A], 0 ), BalB )</t>
  </si>
  <si>
    <t xml:space="preserve">Mezzanine receives what remains after Class A.</t>
  </si>
  <si>
    <t xml:space="preserve">Principal Available, Principal to Class A</t>
  </si>
  <si>
    <t xml:space="preserve">D06-22</t>
  </si>
  <si>
    <t xml:space="preserve">Tranche Status</t>
  </si>
  <si>
    <t xml:space="preserve">SWITCH ( TRUE (),
    [Writedown % of Tranche] = 0, "Intact",
    [Writedown % of Tranche] &lt; 0.5, "Impaired",
    "Wiped out" )</t>
  </si>
  <si>
    <t xml:space="preserve">Intact / impaired / wiped out label.</t>
  </si>
  <si>
    <t xml:space="preserve">D06-23</t>
  </si>
  <si>
    <t xml:space="preserve">Triggers</t>
  </si>
  <si>
    <t xml:space="preserve">Delinq Trigger Value</t>
  </si>
  <si>
    <t xml:space="preserve">SELECTEDVALUE ( ParamDelinqTrigger[Value], 0.12 )</t>
  </si>
  <si>
    <t xml:space="preserve">What-if driven delinq trigger level (default is an ASSUMPTION).</t>
  </si>
  <si>
    <t xml:space="preserve">D06-24</t>
  </si>
  <si>
    <t xml:space="preserve">CNL Trigger Value</t>
  </si>
  <si>
    <t xml:space="preserve">SELECTEDVALUE ( ParamCNLTrigger[Value], 0.02 )</t>
  </si>
  <si>
    <t xml:space="preserve">What-if driven cnl trigger level (default is an ASSUMPTION).</t>
  </si>
  <si>
    <t xml:space="preserve">D06-25</t>
  </si>
  <si>
    <t xml:space="preserve">OC Trigger Value</t>
  </si>
  <si>
    <t xml:space="preserve">SELECTEDVALUE ( ParamOCTrigger[Value], 1.05 )</t>
  </si>
  <si>
    <t xml:space="preserve">What-if driven oc trigger level (default is an ASSUMPTION).</t>
  </si>
  <si>
    <t xml:space="preserve">D06-26</t>
  </si>
  <si>
    <t xml:space="preserve">Delinquency Trigger Status</t>
  </si>
  <si>
    <t xml:space="preserve">IF ( [Delinquent 60+ %] &gt; [Delinq Trigger Value], "BREACH", "OK" )</t>
  </si>
  <si>
    <t xml:space="preserve">Tape 60+ DPD % vs delinquency trigger.</t>
  </si>
  <si>
    <t xml:space="preserve">Delinq Trigger Value, Delinquent 60+ %</t>
  </si>
  <si>
    <t xml:space="preserve">D06-27</t>
  </si>
  <si>
    <t xml:space="preserve">Delinquency Trigger Headroom</t>
  </si>
  <si>
    <t xml:space="preserve">[Delinq Trigger Value] - [Delinquent 60+ %]</t>
  </si>
  <si>
    <t xml:space="preserve">Trigger level minus actual (negative = breach).</t>
  </si>
  <si>
    <t xml:space="preserve">D06-28</t>
  </si>
  <si>
    <t xml:space="preserve">CNL Trigger Status</t>
  </si>
  <si>
    <t xml:space="preserve">IF ( [Cumulative Loss % (Projected)] &gt; [CNL Trigger Value], "BREACH", "OK" )</t>
  </si>
  <si>
    <t xml:space="preserve">Projected cumulative net loss vs trigger.</t>
  </si>
  <si>
    <t xml:space="preserve">CNL Trigger Value, Cumulative Loss % (Projected)</t>
  </si>
  <si>
    <t xml:space="preserve">D06-29</t>
  </si>
  <si>
    <t xml:space="preserve">OC Trigger Status</t>
  </si>
  <si>
    <t xml:space="preserve">IF ( [OC Ratio] &lt; [OC Trigger Value], "BREACH", "OK" )</t>
  </si>
  <si>
    <t xml:space="preserve">OC ratio vs minimum.</t>
  </si>
  <si>
    <t xml:space="preserve">OC Ratio, OC Trigger Value</t>
  </si>
  <si>
    <t xml:space="preserve">D06-30</t>
  </si>
  <si>
    <t xml:space="preserve">Trigger Breach Count</t>
  </si>
  <si>
    <t xml:space="preserve">( [Delinquency Trigger Status] = "BREACH" ) + ( [CNL Trigger Status] = "BREACH" ) + ( [OC Trigger Status] = "BREACH" )</t>
  </si>
  <si>
    <t xml:space="preserve">Number of triggers breached.</t>
  </si>
  <si>
    <t xml:space="preserve">CNL Trigger Status, Delinquency Trigger Status, OC Trigger Status</t>
  </si>
  <si>
    <t xml:space="preserve">D06-31</t>
  </si>
  <si>
    <t xml:space="preserve">CNL Trigger Breach Month</t>
  </si>
  <si>
    <t xml:space="preserve">VAR t = [CNL Trigger Value]
RETURN CALCULATE ( MIN ( DimPeriod[period] ), FILTER ( ALL ( DimPeriod[period] ), [Cumulative Loss % (Projected)] &gt; t ) )</t>
  </si>
  <si>
    <t xml:space="preserve">First projected month in which cumulative loss exceeds the trigger (blank = never).</t>
  </si>
  <si>
    <t xml:space="preserve">D07-01</t>
  </si>
  <si>
    <t xml:space="preserve">Distribution</t>
  </si>
  <si>
    <t xml:space="preserve">Snapshot Loans</t>
  </si>
  <si>
    <t xml:space="preserve">CALCULATE ( DISTINCTCOUNT ( FactMonthlyPerformance[LoanID] ), FactMonthlyPerformance[PreOrigination] = 0 )</t>
  </si>
  <si>
    <t xml:space="preserve">Loans with a post-origination snapshot (use SnapshotLabel on the axis).</t>
  </si>
  <si>
    <t xml:space="preserve">D07-02</t>
  </si>
  <si>
    <t xml:space="preserve">Snapshot Balance</t>
  </si>
  <si>
    <t xml:space="preserve">CALCULATE ( SUM ( FactMonthlyPerformance[CurrentBalance] ), FactMonthlyPerformance[PreOrigination] = 0 )</t>
  </si>
  <si>
    <t xml:space="preserve">Balance on the snapshots in context (pre-origination rows excluded).</t>
  </si>
  <si>
    <t xml:space="preserve">D07-03</t>
  </si>
  <si>
    <t xml:space="preserve">DPD 30+ Balance (Snapshot)</t>
  </si>
  <si>
    <t xml:space="preserve">CALCULATE ( [Snapshot Balance], FactMonthlyPerformance[BucketOrder] &gt;= 2 )</t>
  </si>
  <si>
    <t xml:space="preserve">30+ DPD balance by snapshot.</t>
  </si>
  <si>
    <t xml:space="preserve">D07-04</t>
  </si>
  <si>
    <t xml:space="preserve">DPD 30+ %</t>
  </si>
  <si>
    <t xml:space="preserve">DIVIDE ( [DPD 30+ Balance (Snapshot)], [Snapshot Balance] )</t>
  </si>
  <si>
    <t xml:space="preserve">30+ DPD share by snapshot (axis = SnapshotLabel).</t>
  </si>
  <si>
    <t xml:space="preserve">DPD 30+ Balance (Snapshot), Snapshot Balance</t>
  </si>
  <si>
    <t xml:space="preserve">D07-05</t>
  </si>
  <si>
    <t xml:space="preserve">DPD 60+ %</t>
  </si>
  <si>
    <t xml:space="preserve">DIVIDE ( CALCULATE ( [Snapshot Balance], FactMonthlyPerformance[BucketOrder] &gt;= 3 ), [Snapshot Balance] )</t>
  </si>
  <si>
    <t xml:space="preserve">60+ DPD share by snapshot.</t>
  </si>
  <si>
    <t xml:space="preserve">D07-06</t>
  </si>
  <si>
    <t xml:space="preserve">DPD 90+ %</t>
  </si>
  <si>
    <t xml:space="preserve">DIVIDE ( CALCULATE ( [Snapshot Balance], FactMonthlyPerformance[BucketOrder] &gt;= 4 ), [Snapshot Balance] )</t>
  </si>
  <si>
    <t xml:space="preserve">90+ DPD share by snapshot.</t>
  </si>
  <si>
    <t xml:space="preserve">D07-07</t>
  </si>
  <si>
    <t xml:space="preserve">Bucket Balance %</t>
  </si>
  <si>
    <t xml:space="preserve">DIVIDE ( [Snapshot Balance], CALCULATE ( [Snapshot Balance], ALL ( DimBucket ) ) )</t>
  </si>
  <si>
    <t xml:space="preserve">Share of snapshot balance by DPD bucket.</t>
  </si>
  <si>
    <t xml:space="preserve">D07-08</t>
  </si>
  <si>
    <t xml:space="preserve">CALCULATE ( [DPD 30+ %], FactMonthlyPerformance[IncludeInTrend] = 1 )</t>
  </si>
  <si>
    <t xml:space="preserve">30+ DPD share on a calendar axis (duplicate May snapshot excluded).</t>
  </si>
  <si>
    <t xml:space="preserve">D07-09</t>
  </si>
  <si>
    <t xml:space="preserve">Roll rates</t>
  </si>
  <si>
    <t xml:space="preserve">Transition Count</t>
  </si>
  <si>
    <t xml:space="preserve">CALCULATE ( COUNTROWS ( FactMonthlyPerformance ), FactMonthlyPerformance[ValidTransition] = 1 )</t>
  </si>
  <si>
    <t xml:space="preserve">Loan-month transitions between consecutive snapshots.</t>
  </si>
  <si>
    <t xml:space="preserve">D07-10</t>
  </si>
  <si>
    <t xml:space="preserve">Roll Rate %</t>
  </si>
  <si>
    <t xml:space="preserve">DIVIDE ( [Transition Count], CALCULATE ( [Transition Count], ALL ( DimBucket[DPD_Bucket] ) ) )</t>
  </si>
  <si>
    <t xml:space="preserve">Matrix measure: rows = FactMonthlyPerformance[PriorBucketSeq], columns = DimBucket[DPD_Bucket]; % of the prior bucket moving to each bucket.</t>
  </si>
  <si>
    <t xml:space="preserve">D07-11</t>
  </si>
  <si>
    <t xml:space="preserve">Worsened Transitions</t>
  </si>
  <si>
    <t xml:space="preserve">CALCULATE ( [Transition Count], FILTER ( FactMonthlyPerformance, FactMonthlyPerformance[BucketOrder] &gt; FactMonthlyPerformance[PriorBucketOrder] ) )</t>
  </si>
  <si>
    <t xml:space="preserve">Transitions to a worse bucket.</t>
  </si>
  <si>
    <t xml:space="preserve">D07-12</t>
  </si>
  <si>
    <t xml:space="preserve">Cured Transitions</t>
  </si>
  <si>
    <t xml:space="preserve">CALCULATE ( [Transition Count], FILTER ( FactMonthlyPerformance, FactMonthlyPerformance[BucketOrder] &lt; FactMonthlyPerformance[PriorBucketOrder] ) )</t>
  </si>
  <si>
    <t xml:space="preserve">Transitions to a better bucket.</t>
  </si>
  <si>
    <t xml:space="preserve">D07-13</t>
  </si>
  <si>
    <t xml:space="preserve">Roll Forward Rate</t>
  </si>
  <si>
    <t xml:space="preserve">DIVIDE ( [Worsened Transitions], [Transition Count] )</t>
  </si>
  <si>
    <t xml:space="preserve">Share of transitions that worsen.</t>
  </si>
  <si>
    <t xml:space="preserve">Transition Count, Worsened Transitions</t>
  </si>
  <si>
    <t xml:space="preserve">D07-14</t>
  </si>
  <si>
    <t xml:space="preserve">Cure Rate</t>
  </si>
  <si>
    <t xml:space="preserve">DIVIDE ( [Cured Transitions], [Transition Count] )</t>
  </si>
  <si>
    <t xml:space="preserve">Share of transitions that improve.</t>
  </si>
  <si>
    <t xml:space="preserve">Cured Transitions, Transition Count</t>
  </si>
  <si>
    <t xml:space="preserve">D07-15</t>
  </si>
  <si>
    <t xml:space="preserve">Cure Rate (30+ DPD)</t>
  </si>
  <si>
    <t xml:space="preserve">DIVIDE ( CALCULATE ( [Cured Transitions], FactMonthlyPerformance[PriorBucketOrder] &gt;= 2 ), CALCULATE ( [Transition Count], FactMonthlyPerformance[PriorBucketOrder] &gt;= 2 ) )</t>
  </si>
  <si>
    <t xml:space="preserve">Cure rate for loans already 30+ DPD (zero in this data).</t>
  </si>
  <si>
    <t xml:space="preserve">D07-16</t>
  </si>
  <si>
    <t xml:space="preserve">Roll Rate Current to Current</t>
  </si>
  <si>
    <t xml:space="preserve">DIVIDE ( CALCULATE ( [Transition Count], FactMonthlyPerformance[PriorBucketSeq] = "Current", FactMonthlyPerformance[DPD_Bucket] = "Current" ), CALCULATE ( [Transition Count], FactMonthlyPerformance[PriorBucketSeq] = "Current" ) )</t>
  </si>
  <si>
    <t xml:space="preserve">Current loans staying current.</t>
  </si>
  <si>
    <t xml:space="preserve">D07-17</t>
  </si>
  <si>
    <t xml:space="preserve">Roll Rate Current to 1-29</t>
  </si>
  <si>
    <t xml:space="preserve">DIVIDE ( CALCULATE ( [Transition Count], FactMonthlyPerformance[PriorBucketSeq] = "Current", FactMonthlyPerformance[DPD_Bucket] = "1-29 DPD" ), CALCULATE ( [Transition Count], FactMonthlyPerformance[PriorBucketSeq] = "Current" ) )</t>
  </si>
  <si>
    <t xml:space="preserve">Current loans slipping into 1-29 DPD.</t>
  </si>
  <si>
    <t xml:space="preserve">D07-18</t>
  </si>
  <si>
    <t xml:space="preserve">Roll Rate 30-59 to 60-89</t>
  </si>
  <si>
    <t xml:space="preserve">DIVIDE ( CALCULATE ( [Transition Count], FactMonthlyPerformance[PriorBucketSeq] = "30-59 DPD", FactMonthlyPerformance[DPD_Bucket] = "60-89 DPD" ), CALCULATE ( [Transition Count], FactMonthlyPerformance[PriorBucketSeq] = "30-59 DPD" ) )</t>
  </si>
  <si>
    <t xml:space="preserve">30-59 DPD loans rolling to 60-89.</t>
  </si>
  <si>
    <t xml:space="preserve">D07-19</t>
  </si>
  <si>
    <t xml:space="preserve">Roll Rate 60-89 to 90+</t>
  </si>
  <si>
    <t xml:space="preserve">DIVIDE ( CALCULATE ( [Transition Count], FactMonthlyPerformance[PriorBucketSeq] = "60-89 DPD", FactMonthlyPerformance[BucketOrder] &gt;= 4 ), CALCULATE ( [Transition Count], FactMonthlyPerformance[PriorBucketSeq] = "60-89 DPD" ) )</t>
  </si>
  <si>
    <t xml:space="preserve">60-89 DPD loans rolling into 90+ / default.</t>
  </si>
  <si>
    <t xml:space="preserve">D07-20</t>
  </si>
  <si>
    <t xml:space="preserve">Ageing</t>
  </si>
  <si>
    <t xml:space="preserve">Balance Delinquent 1-2 Months</t>
  </si>
  <si>
    <t xml:space="preserve">CALCULATE ( [Snapshot Balance], FactMonthlyPerformance[ConsecutiveMonthsDelinquent] &gt;= 1, FactMonthlyPerformance[ConsecutiveMonthsDelinquent] &lt;= 2 )</t>
  </si>
  <si>
    <t xml:space="preserve">Balance delinquent 1-2 consecutive months.</t>
  </si>
  <si>
    <t xml:space="preserve">D07-21</t>
  </si>
  <si>
    <t xml:space="preserve">Balance Delinquent 3-5 Months</t>
  </si>
  <si>
    <t xml:space="preserve">CALCULATE ( [Snapshot Balance], FactMonthlyPerformance[ConsecutiveMonthsDelinquent] &gt;= 3, FactMonthlyPerformance[ConsecutiveMonthsDelinquent] &lt;= 5 )</t>
  </si>
  <si>
    <t xml:space="preserve">Balance delinquent 3-5 consecutive months.</t>
  </si>
  <si>
    <t xml:space="preserve">D07-22</t>
  </si>
  <si>
    <t xml:space="preserve">Balance Delinquent 6+ Months</t>
  </si>
  <si>
    <t xml:space="preserve">CALCULATE ( [Snapshot Balance], FactMonthlyPerformance[ConsecutiveMonthsDelinquent] &gt;= 6 )</t>
  </si>
  <si>
    <t xml:space="preserve">Balance delinquent 6+ consecutive months.</t>
  </si>
  <si>
    <t xml:space="preserve">D07-23</t>
  </si>
  <si>
    <t xml:space="preserve">Avg Months Delinquent</t>
  </si>
  <si>
    <t xml:space="preserve">CALCULATE ( AVERAGE ( FactMonthlyPerformance[ConsecutiveMonthsDelinquent] ), FactMonthlyPerformance[ConsecutiveMonthsDelinquent] &gt; 0, FactMonthlyPerformance[PreOrigination] = 0 )</t>
  </si>
  <si>
    <t xml:space="preserve">Average consecutive months delinquent among delinquent loans.</t>
  </si>
  <si>
    <t xml:space="preserve">D07-24</t>
  </si>
  <si>
    <t xml:space="preserve">Loans Delinquent 3+ Months (Latest)</t>
  </si>
  <si>
    <t xml:space="preserve">VAR s = MAX ( FactMonthlyPerformance[SnapshotSeq] )
RETURN CALCULATE ( DISTINCTCOUNT ( FactMonthlyPerformance[LoanID] ), FactMonthlyPerformance[SnapshotSeq] = s, FactMonthlyPerformance[ConsecutiveMonthsDelinquent] &gt;= 3 )</t>
  </si>
  <si>
    <t xml:space="preserve">Loans in arrears 3+ months at the latest snapshot.</t>
  </si>
  <si>
    <t xml:space="preserve">D08-01</t>
  </si>
  <si>
    <t xml:space="preserve">Vintage</t>
  </si>
  <si>
    <t xml:space="preserve">Vintage Original Balance</t>
  </si>
  <si>
    <t xml:space="preserve">CALCULATE ( SUM ( FactStaticPool[OriginalPoolBalance] ), FactStaticPool[MonthsOnBook] = 0 )</t>
  </si>
  <si>
    <t xml:space="preserve">Original pool balance (counted once per vintage at MOB 0).</t>
  </si>
  <si>
    <t xml:space="preserve">D08-02</t>
  </si>
  <si>
    <t xml:space="preserve">CNL Rate @ MOB</t>
  </si>
  <si>
    <t xml:space="preserve">DIVIDE ( SUM ( FactStaticPool[CumulativeNetLoss] ), SUM ( FactStaticPool[OriginalPoolBalance] ) )</t>
  </si>
  <si>
    <t xml:space="preserve">Cumulative net loss rate - put MonthsOnBook on the axis (one MOB per point).</t>
  </si>
  <si>
    <t xml:space="preserve">D08-03</t>
  </si>
  <si>
    <t xml:space="preserve">Cumulative Default Rate @ MOB</t>
  </si>
  <si>
    <t xml:space="preserve">DIVIDE ( SUM ( FactStaticPool[CumulativeDefaults_Balance] ), SUM ( FactStaticPool[OriginalPoolBalance] ) )</t>
  </si>
  <si>
    <t xml:space="preserve">Cumulative default rate by months on book.</t>
  </si>
  <si>
    <t xml:space="preserve">D08-04</t>
  </si>
  <si>
    <t xml:space="preserve">Cumulative Gross Loss Rate @ MOB</t>
  </si>
  <si>
    <t xml:space="preserve">DIVIDE ( SUM ( FactStaticPool[CumulativeGrossLoss] ), SUM ( FactStaticPool[OriginalPoolBalance] ) )</t>
  </si>
  <si>
    <t xml:space="preserve">Cumulative gross loss rate by months on book.</t>
  </si>
  <si>
    <t xml:space="preserve">D08-05</t>
  </si>
  <si>
    <t xml:space="preserve">Cumulative Prepayment Rate @ MOB</t>
  </si>
  <si>
    <t xml:space="preserve">DIVIDE ( SUM ( FactStaticPool[CumulativePrepayments] ), SUM ( FactStaticPool[OriginalPoolBalance] ) )</t>
  </si>
  <si>
    <t xml:space="preserve">Cumulative prepayment rate by months on book.</t>
  </si>
  <si>
    <t xml:space="preserve">D08-06</t>
  </si>
  <si>
    <t xml:space="preserve">Pool Factor @ MOB</t>
  </si>
  <si>
    <t xml:space="preserve">DIVIDE ( SUM ( FactStaticPool[RemainingPoolBalance] ), SUM ( FactStaticPool[OriginalPoolBalance] ) )</t>
  </si>
  <si>
    <t xml:space="preserve">Remaining balance / original by months on book.</t>
  </si>
  <si>
    <t xml:space="preserve">D08-07</t>
  </si>
  <si>
    <t xml:space="preserve">Latest MOB</t>
  </si>
  <si>
    <t xml:space="preserve">MAX ( FactStaticPool[MonthsOnBook] )</t>
  </si>
  <si>
    <t xml:space="preserve">Most recent months-on-book observed.</t>
  </si>
  <si>
    <t xml:space="preserve">D08-08</t>
  </si>
  <si>
    <t xml:space="preserve">CNL Rate (Latest MOB)</t>
  </si>
  <si>
    <t xml:space="preserve">DIVIDE (
    SUMX ( VALUES ( FactStaticPool[VintageID] ),
        VAR m = CALCULATE ( MAX ( FactStaticPool[MonthsOnBook] ) )
        RETURN CALCULATE ( SUM ( FactStaticPool[CumulativeNetLoss] ), FactStaticPool[MonthsOnBook] = m ) ),
    [Vintage Original Balance] )</t>
  </si>
  <si>
    <t xml:space="preserve">Cumulative net loss to date, each vintage at its own latest MOB (virtual-table iteration).</t>
  </si>
  <si>
    <t xml:space="preserve">D08-09</t>
  </si>
  <si>
    <t xml:space="preserve">Loss Timing % (of CNL to date)</t>
  </si>
  <si>
    <t xml:space="preserve">DIVIDE ( [CNL Rate @ MOB], [CNL Rate (Latest MOB)] )</t>
  </si>
  <si>
    <t xml:space="preserve">Share of loss-to-date incurred by each MOB - the loss timing curve rating agencies ask for.</t>
  </si>
  <si>
    <t xml:space="preserve">CNL Rate (Latest MOB), CNL Rate @ MOB</t>
  </si>
  <si>
    <t xml:space="preserve">D08-10</t>
  </si>
  <si>
    <t xml:space="preserve">Marginal Loss Rate (Wtd)</t>
  </si>
  <si>
    <t xml:space="preserve">DIVIDE ( SUMX ( FactStaticPool, FactStaticPool[MarginalLossRate] * FactStaticPool[RemainingPoolBalance] ), SUM ( FactStaticPool[RemainingPoolBalance] ) )</t>
  </si>
  <si>
    <t xml:space="preserve">Monthly marginal loss rate weighted by remaining balance.</t>
  </si>
  <si>
    <t xml:space="preserve">D08-11</t>
  </si>
  <si>
    <t xml:space="preserve">Vintage 30+ Delinquency (Wtd)</t>
  </si>
  <si>
    <t xml:space="preserve">DIVIDE ( SUMX ( FactStaticPool, FactStaticPool[CurrentDelinq30Plus] * FactStaticPool[RemainingPoolBalance] ), SUM ( FactStaticPool[RemainingPoolBalance] ) )</t>
  </si>
  <si>
    <t xml:space="preserve">30+ delinquency weighted by remaining balance.</t>
  </si>
  <si>
    <t xml:space="preserve">D08-12</t>
  </si>
  <si>
    <t xml:space="preserve">Projected Ultimate CNL (MOB 36)</t>
  </si>
  <si>
    <t xml:space="preserve">VAR MaxMOB  = MAX ( FactStaticPool[MonthsOnBook] )
VAR Cur     = CALCULATE ( [CNL Rate @ MOB], FactStaticPool[MonthsOnBook] = MaxMOB )
VAR RefNow  = CALCULATE ( [CNL Rate @ MOB], FactStaticPool[MonthsOnBook] = MaxMOB, FILTER ( ALL ( FactStaticPool[VintageID] ), FactStaticPool[VintageID] IN { "2021-Q1", "2021-Q2", "2021-Q3", "2021-Q4" } ) )
VAR Ref36   = CALCULATE ( [CNL Rate @ MOB], FactStaticPool[MonthsOnBook] = 36, FILTER ( ALL ( FactStaticPool[VintageID] ), FactStaticPool[VintageID] IN { "2021-Q1", "2021-Q2", "2021-Q3", "2021-Q4" } ) )
RETURN IF ( MaxMOB &gt;= 36, Cur, DIVIDE ( Cur * Ref36, RefNow ) )</t>
  </si>
  <si>
    <t xml:space="preserve">Chain-ladder style projection: scales the vintage's CNL by the mature-vintage (2021) development from its MOB to MOB 36.</t>
  </si>
  <si>
    <t xml:space="preserve">D08-13</t>
  </si>
  <si>
    <t xml:space="preserve">Vintage WAC</t>
  </si>
  <si>
    <t xml:space="preserve">[WAC]</t>
  </si>
  <si>
    <t xml:space="preserve">Vintage-level WAC: filter flows DimVintage &gt; DimLoan &gt; tape, so the base measure is reused.</t>
  </si>
  <si>
    <t xml:space="preserve">D08-14</t>
  </si>
  <si>
    <t xml:space="preserve">Vintage WALA</t>
  </si>
  <si>
    <t xml:space="preserve">[WALA]</t>
  </si>
  <si>
    <t xml:space="preserve">Vintage-level WALA via the same filter path.</t>
  </si>
  <si>
    <t xml:space="preserve">D09-01</t>
  </si>
  <si>
    <t xml:space="preserve">ECL (tape)</t>
  </si>
  <si>
    <t xml:space="preserve">Total ECL (Tape)</t>
  </si>
  <si>
    <t xml:space="preserve">SUM ( FactLoanTape[ECL_Provision] )</t>
  </si>
  <si>
    <t xml:space="preserve">Provision as supplied on the tape.</t>
  </si>
  <si>
    <t xml:space="preserve">D09-02</t>
  </si>
  <si>
    <t xml:space="preserve">ECL Coverage %</t>
  </si>
  <si>
    <t xml:space="preserve">DIVIDE ( [Total ECL (Tape)], [Total EAD] )</t>
  </si>
  <si>
    <t xml:space="preserve">Provision / EAD.</t>
  </si>
  <si>
    <t xml:space="preserve">Total EAD, Total ECL (Tape)</t>
  </si>
  <si>
    <t xml:space="preserve">D09-03</t>
  </si>
  <si>
    <t xml:space="preserve">ECL Stage 1</t>
  </si>
  <si>
    <t xml:space="preserve">CALCULATE ( [Total ECL (Tape)], FactLoanTape[IFRS9_Stage] = 1 )</t>
  </si>
  <si>
    <t xml:space="preserve">Provision on Stage 1 loans.</t>
  </si>
  <si>
    <t xml:space="preserve">D09-04</t>
  </si>
  <si>
    <t xml:space="preserve">ECL Stage 2</t>
  </si>
  <si>
    <t xml:space="preserve">CALCULATE ( [Total ECL (Tape)], FactLoanTape[IFRS9_Stage] = 2 )</t>
  </si>
  <si>
    <t xml:space="preserve">Provision on Stage 2 loans.</t>
  </si>
  <si>
    <t xml:space="preserve">D09-05</t>
  </si>
  <si>
    <t xml:space="preserve">ECL Stage 3</t>
  </si>
  <si>
    <t xml:space="preserve">CALCULATE ( [Total ECL (Tape)], FactLoanTape[IFRS9_Stage] = 3 )</t>
  </si>
  <si>
    <t xml:space="preserve">Provision on Stage 3 loans.</t>
  </si>
  <si>
    <t xml:space="preserve">D09-06</t>
  </si>
  <si>
    <t xml:space="preserve">EAD Stage 1</t>
  </si>
  <si>
    <t xml:space="preserve">CALCULATE ( [Total EAD], FactLoanTape[IFRS9_Stage] = 1 )</t>
  </si>
  <si>
    <t xml:space="preserve">EAD of Stage 1 loans.</t>
  </si>
  <si>
    <t xml:space="preserve">D09-07</t>
  </si>
  <si>
    <t xml:space="preserve">EAD Stage 2</t>
  </si>
  <si>
    <t xml:space="preserve">CALCULATE ( [Total EAD], FactLoanTape[IFRS9_Stage] = 2 )</t>
  </si>
  <si>
    <t xml:space="preserve">EAD of Stage 2 loans.</t>
  </si>
  <si>
    <t xml:space="preserve">D09-08</t>
  </si>
  <si>
    <t xml:space="preserve">EAD Stage 3</t>
  </si>
  <si>
    <t xml:space="preserve">CALCULATE ( [Total EAD], FactLoanTape[IFRS9_Stage] = 3 )</t>
  </si>
  <si>
    <t xml:space="preserve">EAD of Stage 3 loans.</t>
  </si>
  <si>
    <t xml:space="preserve">D09-09</t>
  </si>
  <si>
    <t xml:space="preserve">Stage Mix % (EAD)</t>
  </si>
  <si>
    <t xml:space="preserve">DIVIDE ( [Total EAD], CALCULATE ( [Total EAD], ALL ( DimStage ) ) )</t>
  </si>
  <si>
    <t xml:space="preserve">Stage share of EAD (DimStage on axis).</t>
  </si>
  <si>
    <t xml:space="preserve">D09-10</t>
  </si>
  <si>
    <t xml:space="preserve">Avg PD (EAD-weighted)</t>
  </si>
  <si>
    <t xml:space="preserve">DIVIDE ( SUMX ( FactLoanTape, FactLoanTape[PD_Estimate] * FactLoanTape[EAD] ), [Total EAD] )</t>
  </si>
  <si>
    <t xml:space="preserve">EAD-weighted PD.</t>
  </si>
  <si>
    <t xml:space="preserve">D09-11</t>
  </si>
  <si>
    <t xml:space="preserve">Avg LGD (EAD-weighted)</t>
  </si>
  <si>
    <t xml:space="preserve">DIVIDE ( SUMX ( FactLoanTape, FactLoanTape[LGD_Estimate] * FactLoanTape[EAD] ), [Total EAD] )</t>
  </si>
  <si>
    <t xml:space="preserve">EAD-weighted LGD.</t>
  </si>
  <si>
    <t xml:space="preserve">D09-12</t>
  </si>
  <si>
    <t xml:space="preserve">ECL Recomputed (PD x LGD x EAD)</t>
  </si>
  <si>
    <t xml:space="preserve">SUMX ( FactLoanTape, FactLoanTape[PD_Estimate] * FactLoanTape[LGD_Estimate] * FactLoanTape[EAD] )</t>
  </si>
  <si>
    <t xml:space="preserve">Independent loan-level recomputation of the provision.</t>
  </si>
  <si>
    <t xml:space="preserve">D09-13</t>
  </si>
  <si>
    <t xml:space="preserve">ECL Recompute Variance</t>
  </si>
  <si>
    <t xml:space="preserve">[ECL Recomputed (PD x LGD x EAD)] - [Total ECL (Tape)]</t>
  </si>
  <si>
    <t xml:space="preserve">Should be zero - tape ECL = PD x LGD x EAD.</t>
  </si>
  <si>
    <t xml:space="preserve">ECL Recomputed (PD x LGD x EAD), Total ECL (Tape)</t>
  </si>
  <si>
    <t xml:space="preserve">D09-14</t>
  </si>
  <si>
    <t xml:space="preserve">LGD</t>
  </si>
  <si>
    <t xml:space="preserve">Realised Recovery Rate (Tape)</t>
  </si>
  <si>
    <t xml:space="preserve">DIVIDE ( SUM ( FactLoanTape[RecoveryAmount] ), SUM ( FactLoanTape[LossAmount] ) )</t>
  </si>
  <si>
    <t xml:space="preserve">Recoveries / gross loss on the tape (2 loans only).</t>
  </si>
  <si>
    <t xml:space="preserve">D09-15</t>
  </si>
  <si>
    <t xml:space="preserve">Net Loss Severity (Dynamic)</t>
  </si>
  <si>
    <t xml:space="preserve">DIVIDE ( SUM ( FactDynamicLoss[NetLoss_ThisMonth] ), SUM ( FactDynamicLoss[NewDefaults_Balance] ) )</t>
  </si>
  <si>
    <t xml:space="preserve">Net loss / defaulted balance over 12 months - the pool LGD used by the challenger model.</t>
  </si>
  <si>
    <t xml:space="preserve">D09-16</t>
  </si>
  <si>
    <t xml:space="preserve">Gross Loss Severity (Dynamic)</t>
  </si>
  <si>
    <t xml:space="preserve">DIVIDE ( SUM ( FactDynamicLoss[GrossLoss_ThisMonth] ), SUM ( FactDynamicLoss[NewDefaults_Balance] ) )</t>
  </si>
  <si>
    <t xml:space="preserve">Gross loss / defaulted balance.</t>
  </si>
  <si>
    <t xml:space="preserve">D09-17</t>
  </si>
  <si>
    <t xml:space="preserve">PD</t>
  </si>
  <si>
    <t xml:space="preserve">PD Term Structure</t>
  </si>
  <si>
    <t xml:space="preserve">MAX ( FactPDTermStructure[CumulativePD] )</t>
  </si>
  <si>
    <t xml:space="preserve">Cumulative PD from the empirical transition matrix (axis: HorizonMonths, legend: DPD_Bucket).</t>
  </si>
  <si>
    <t xml:space="preserve">D09-18</t>
  </si>
  <si>
    <t xml:space="preserve">12M PD from Transition Matrix</t>
  </si>
  <si>
    <t xml:space="preserve">CALCULATE ( MAX ( FactPDTermStructure[CumulativePD] ), FactPDTermStructure[HorizonMonths] = 12 )</t>
  </si>
  <si>
    <t xml:space="preserve">12-month PD by starting bucket.</t>
  </si>
  <si>
    <t xml:space="preserve">D09-19</t>
  </si>
  <si>
    <t xml:space="preserve">Param Pool LGD</t>
  </si>
  <si>
    <t xml:space="preserve">CALCULATE ( MAX ( DimParameters[Value] ), DimParameters[Parameter] = "Pool net LGD (severity)" )</t>
  </si>
  <si>
    <t xml:space="preserve">Pool LGD read from DimParameters (calibrated on dynamic_loss_monthly).</t>
  </si>
  <si>
    <t xml:space="preserve">D09-20</t>
  </si>
  <si>
    <t xml:space="preserve">Param Base CPR</t>
  </si>
  <si>
    <t xml:space="preserve">CALCULATE ( MAX ( DimParameters[Value] ), DimParameters[Parameter] = "Base annual CPR" )</t>
  </si>
  <si>
    <t xml:space="preserve">Base annual CPR read from DimParameters.</t>
  </si>
  <si>
    <t xml:space="preserve">D09-21</t>
  </si>
  <si>
    <t xml:space="preserve">Param Rate Elasticity</t>
  </si>
  <si>
    <t xml:space="preserve">CALCULATE ( MAX ( DimParameters[Value] ), DimParameters[Parameter] = "Rate shock PD elasticity (per 100bps)" )</t>
  </si>
  <si>
    <t xml:space="preserve">ASSUMPTION: PD uplift per 100bps rate shock.</t>
  </si>
  <si>
    <t xml:space="preserve">D09-22</t>
  </si>
  <si>
    <t xml:space="preserve">Challenger</t>
  </si>
  <si>
    <t xml:space="preserve">Challenger ECL (DAX)</t>
  </si>
  <si>
    <t xml:space="preserve">VAR LGDp = [Param Pool LGD]
RETURN
SUMX (
    FactLoanTape,
    VAR stg = FactLoanTape[IFRS9_Stage]
    VAR h   = IF ( stg = 1, 12, MIN ( MAX ( FactLoanTape[RemainingTerm], 1 ), 60 ) )
    VAR pdv = IF ( stg = 3, 1,
                LOOKUPVALUE ( FactPDTermStructure[CumulativePD],
                              FactPDTermStructure[DPD_Bucket], FactLoanTape[DelinquencyStatus],
                              FactPDTermStructure[HorizonMonths], h ) )
    VAR hh  = IF ( stg = 3, 6, h )
    VAR dfc = POWER ( 1 + RELATED ( DimLoan[InterestRate] ) / 100, - ( hh / 12 ) / 2 )
    RETURN IF ( FactLoanTape[EAD] &lt;= 0, 0, pdv * LGDp * FactLoanTape[EAD] * dfc )
)</t>
  </si>
  <si>
    <t xml:space="preserve">Independent IFRS 9 ECL: Stage 1 = 12M PD, Stage 2 = lifetime PD (capped 60M) from the roll-rate matrix, Stage 3 = 100%; LGD from the dynamic loss data; discounted at EIR.</t>
  </si>
  <si>
    <t xml:space="preserve">D09-23</t>
  </si>
  <si>
    <t xml:space="preserve">Challenger vs Tape Variance %</t>
  </si>
  <si>
    <t xml:space="preserve">DIVIDE ( [Challenger ECL (DAX)] - [Total ECL (Tape)], [Total ECL (Tape)] )</t>
  </si>
  <si>
    <t xml:space="preserve">How far the data-driven ECL sits from the tape provision.</t>
  </si>
  <si>
    <t xml:space="preserve">Challenger ECL (DAX), Total ECL (Tape)</t>
  </si>
  <si>
    <t xml:space="preserve">D09-24</t>
  </si>
  <si>
    <t xml:space="preserve">Staging</t>
  </si>
  <si>
    <t xml:space="preserve">Stage 2 DPD Value</t>
  </si>
  <si>
    <t xml:space="preserve">SELECTEDVALUE ( ParamStage2DPD[Value], 30 )</t>
  </si>
  <si>
    <t xml:space="preserve">Stage 2 DPD threshold (tape rule 30; brief 60).</t>
  </si>
  <si>
    <t xml:space="preserve">D09-25</t>
  </si>
  <si>
    <t xml:space="preserve">Stage 3 DPD Value</t>
  </si>
  <si>
    <t xml:space="preserve">SELECTEDVALUE ( ParamStage3DPD[Value], 90 )</t>
  </si>
  <si>
    <t xml:space="preserve">Stage 3 DPD threshold (tape rule 90; brief 120).</t>
  </si>
  <si>
    <t xml:space="preserve">D09-26</t>
  </si>
  <si>
    <t xml:space="preserve">ECL (Alt Staging)</t>
  </si>
  <si>
    <t xml:space="preserve">VAR S2  = [Stage 2 DPD Value]
VAR S3  = [Stage 3 DPD Value]
VAR pd1 = CALCULATE ( DIVIDE ( SUMX ( FactLoanTape, FactLoanTape[PD_Estimate] * FactLoanTape[EAD] ), SUM ( FactLoanTape[EAD] ) ), REMOVEFILTERS (), FactLoanTape[IFRS9_Stage] = 1 )
VAR pd2 = CALCULATE ( DIVIDE ( SUMX ( FactLoanTape, FactLoanTape[PD_Estimate] * FactLoanTape[EAD] ), SUM ( FactLoanTape[EAD] ) ), REMOVEFILTERS (), FactLoanTape[IFRS9_Stage] = 2 )
VAR pd3 = CALCULATE ( DIVIDE ( SUMX ( FactLoanTape, FactLoanTape[PD_Estimate] * FactLoanTape[EAD] ), SUM ( FactLoanTape[EAD] ) ), REMOVEFILTERS (), FactLoanTape[IFRS9_Stage] = 3 )
RETURN
SUMX ( FactLoanTape,
    VAR s = IF ( FactLoanTape[IsDefaulted] = 1 || FactLoanTape[DelinquencyDays] &gt;= S3, 3, IF ( FactLoanTape[DelinquencyDays] &gt;= S2, 2, 1 ) )
    RETURN SWITCH ( s, 1, pd1, 2, pd2, pd3 ) * FactLoanTape[LGD_Estimate] * FactLoanTape[EAD] )</t>
  </si>
  <si>
    <t xml:space="preserve">Re-stages loans with adjustable DPD thresholds and applies stage-average PDs; compare the brief's 60/120 rule with the tape's 30/90 (approximation - use for impact, not as the provision).</t>
  </si>
  <si>
    <t xml:space="preserve">Stage 2 DPD Value, Stage 3 DPD Value</t>
  </si>
  <si>
    <t xml:space="preserve">D10-01</t>
  </si>
  <si>
    <t xml:space="preserve">What-if</t>
  </si>
  <si>
    <t xml:space="preserve">Default Rate Multiplier Value</t>
  </si>
  <si>
    <t xml:space="preserve">SELECTEDVALUE ( ParamDefaultMult[Value], 1 )</t>
  </si>
  <si>
    <t xml:space="preserve">PD multiplier slider.</t>
  </si>
  <si>
    <t xml:space="preserve">D10-02</t>
  </si>
  <si>
    <t xml:space="preserve">Recovery Haircut Value</t>
  </si>
  <si>
    <t xml:space="preserve">SELECTEDVALUE ( ParamRecoveryHaircut[Value], 0 )</t>
  </si>
  <si>
    <t xml:space="preserve">Additive LGD increase slider (recovery haircut).</t>
  </si>
  <si>
    <t xml:space="preserve">0%</t>
  </si>
  <si>
    <t xml:space="preserve">D10-03</t>
  </si>
  <si>
    <t xml:space="preserve">CPR Change Value</t>
  </si>
  <si>
    <t xml:space="preserve">SELECTEDVALUE ( ParamCPRChange[Value], 0 )</t>
  </si>
  <si>
    <t xml:space="preserve">Change in annual CPR slider.</t>
  </si>
  <si>
    <t xml:space="preserve">D10-04</t>
  </si>
  <si>
    <t xml:space="preserve">Rate Shock Value</t>
  </si>
  <si>
    <t xml:space="preserve">SELECTEDVALUE ( ParamRateShock[Value], 0 )</t>
  </si>
  <si>
    <t xml:space="preserve">Interest-rate shock (bps) slider.</t>
  </si>
  <si>
    <t xml:space="preserve">D10-05</t>
  </si>
  <si>
    <t xml:space="preserve">Effective PD Multiplier</t>
  </si>
  <si>
    <t xml:space="preserve">[Default Rate Multiplier Value] * ( 1 + [Param Rate Elasticity] * [Rate Shock Value] / 100 )</t>
  </si>
  <si>
    <t xml:space="preserve">Default multiplier compounded with the rate-shock PD elasticity (assumption).</t>
  </si>
  <si>
    <t xml:space="preserve">Default Rate Multiplier Value, Param Rate Elasticity, Rate Shock Value</t>
  </si>
  <si>
    <t xml:space="preserve">D10-06</t>
  </si>
  <si>
    <t xml:space="preserve">Stress ECL (What-If)</t>
  </si>
  <si>
    <t xml:space="preserve">VAR PDM = [Effective PD Multiplier]
VAR Hc  = [Recovery Haircut Value]
VAR cpr0 = [Param Base CPR]
VAR RunOff = POWER ( DIVIDE ( 1 - ( cpr0 + [CPR Change Value] ), 1 - cpr0 ), 0.5 )
RETURN
SUMX ( FactLoanTape, MIN ( 1, FactLoanTape[PD_Estimate] * PDM ) * MIN ( 1, FactLoanTape[LGD_Estimate] + Hc ) * FactLoanTape[EAD] * RunOff )</t>
  </si>
  <si>
    <t xml:space="preserve">ECL under the four what-if levers (equals tape ECL when all levers are at their defaults). Faster prepayment shortens exposure (half-year average run-off).</t>
  </si>
  <si>
    <t xml:space="preserve">CPR Change Value, Effective PD Multiplier, Param Base CPR, Recovery Haircut Value</t>
  </si>
  <si>
    <t xml:space="preserve">D10-07</t>
  </si>
  <si>
    <t xml:space="preserve">Stress ECL Uplift</t>
  </si>
  <si>
    <t xml:space="preserve">[Stress ECL (What-If)] - [Total ECL (Tape)]</t>
  </si>
  <si>
    <t xml:space="preserve">Increase vs tape provision.</t>
  </si>
  <si>
    <t xml:space="preserve">Stress ECL (What-If), Total ECL (Tape)</t>
  </si>
  <si>
    <t xml:space="preserve">D10-08</t>
  </si>
  <si>
    <t xml:space="preserve">Stress ECL Uplift %</t>
  </si>
  <si>
    <t xml:space="preserve">DIVIDE ( [Stress ECL Uplift], [Total ECL (Tape)] )</t>
  </si>
  <si>
    <t xml:space="preserve">Percentage increase vs tape provision.</t>
  </si>
  <si>
    <t xml:space="preserve">Stress ECL Uplift, Total ECL (Tape)</t>
  </si>
  <si>
    <t xml:space="preserve">D10-09</t>
  </si>
  <si>
    <t xml:space="preserve">Stress Coverage %</t>
  </si>
  <si>
    <t xml:space="preserve">DIVIDE ( [Stress ECL (What-If)], [Total EAD] )</t>
  </si>
  <si>
    <t xml:space="preserve">Stressed provision / EAD.</t>
  </si>
  <si>
    <t xml:space="preserve">Stress ECL (What-If), Total EAD</t>
  </si>
  <si>
    <t xml:space="preserve">D10-10</t>
  </si>
  <si>
    <t xml:space="preserve">Scenarios</t>
  </si>
  <si>
    <t xml:space="preserve">Scenario ECL</t>
  </si>
  <si>
    <t xml:space="preserve">VAR PDM = SELECTEDVALUE ( DimScenario[pd_multiplier], 1 )
VAR Hc  = SELECTEDVALUE ( DimScenario[lgd_add], 0 )
RETURN SUMX ( FactLoanTape, MIN ( 1, FactLoanTape[PD_Estimate] * PDM ) * MIN ( 1, FactLoanTape[LGD_Estimate] + Hc ) * FactLoanTape[EAD] )</t>
  </si>
  <si>
    <t xml:space="preserve">ECL under the scenario in context (DimScenario on axis); rate-shock effect is embedded in the scenario PD multiplier.</t>
  </si>
  <si>
    <t xml:space="preserve">D10-11</t>
  </si>
  <si>
    <t xml:space="preserve">Probability-Weighted Scenario ECL</t>
  </si>
  <si>
    <t xml:space="preserve">SUMX ( ALL ( DimScenario ), DimScenario[weight] * [Scenario ECL] )</t>
  </si>
  <si>
    <t xml:space="preserve">IFRS 9 probability-weighted ECL across scenarios.</t>
  </si>
  <si>
    <t xml:space="preserve">D10-12</t>
  </si>
  <si>
    <t xml:space="preserve">Weighted ECL vs Tape</t>
  </si>
  <si>
    <t xml:space="preserve">[Probability-Weighted Scenario ECL] - [Total ECL (Tape)]</t>
  </si>
  <si>
    <t xml:space="preserve">Scenario-weighting overlay vs tape provision.</t>
  </si>
  <si>
    <t xml:space="preserve">Probability-Weighted Scenario ECL, Total ECL (Tape)</t>
  </si>
  <si>
    <t xml:space="preserve">D10-13</t>
  </si>
  <si>
    <t xml:space="preserve">Cum Loss % at Horizon</t>
  </si>
  <si>
    <t xml:space="preserve">VAR p = CALCULATE ( MAX ( FactPool[period] ), ALL ( FactPool ) )
RETURN CALCULATE ( MAX ( FactPool[cumulative_loss_pct] ), FactPool[period] = p )</t>
  </si>
  <si>
    <t xml:space="preserve">Cumulative projected net loss at the end of the 36-month horizon.</t>
  </si>
  <si>
    <t xml:space="preserve">D10-14</t>
  </si>
  <si>
    <t xml:space="preserve">Senior Tranche Loss</t>
  </si>
  <si>
    <t xml:space="preserve">CALCULATE ( [Tranche Writedown], DimTranche[tranche] = "Class A (Senior)" )</t>
  </si>
  <si>
    <t xml:space="preserve">Loss absorbed by Class A.</t>
  </si>
  <si>
    <t xml:space="preserve">D10-15</t>
  </si>
  <si>
    <t xml:space="preserve">Mezzanine Tranche Loss</t>
  </si>
  <si>
    <t xml:space="preserve">CALCULATE ( [Tranche Writedown], DimTranche[tranche] = "Class B (Mezzanine)" )</t>
  </si>
  <si>
    <t xml:space="preserve">Loss absorbed by Class B.</t>
  </si>
  <si>
    <t xml:space="preserve">D10-16</t>
  </si>
  <si>
    <t xml:space="preserve">Junior Tranche Loss %</t>
  </si>
  <si>
    <t xml:space="preserve">CALCULATE ( [Writedown % of Tranche], DimTranche[tranche] = "Class C (Junior)" )</t>
  </si>
  <si>
    <t xml:space="preserve">Class C write-down %.</t>
  </si>
  <si>
    <t xml:space="preserve">D10-17</t>
  </si>
  <si>
    <t xml:space="preserve">Equity Loss %</t>
  </si>
  <si>
    <t xml:space="preserve">CALCULATE ( [Writedown % of Tranche], DimTranche[tranche] = "Equity / Residual" )</t>
  </si>
  <si>
    <t xml:space="preserve">Equity write-down %.</t>
  </si>
  <si>
    <t xml:space="preserve">D10-18</t>
  </si>
  <si>
    <t xml:space="preserve">Minimum OC Ratio</t>
  </si>
  <si>
    <t xml:space="preserve">CALCULATE ( MIN ( FactPool[oc_ratio] ) )</t>
  </si>
  <si>
    <t xml:space="preserve">Lowest OC ratio over the horizon.</t>
  </si>
  <si>
    <t xml:space="preserve">D10-19</t>
  </si>
  <si>
    <t xml:space="preserve">CNL Trigger Headroom</t>
  </si>
  <si>
    <t xml:space="preserve">[CNL Trigger Value] - [Cum Loss % at Horizon]</t>
  </si>
  <si>
    <t xml:space="preserve">Distance to the CNL trigger at horizon (negative = breached).</t>
  </si>
  <si>
    <t xml:space="preserve">CNL Trigger Value, Cum Loss % at Horizon</t>
  </si>
  <si>
    <t xml:space="preserve">D10-20</t>
  </si>
  <si>
    <t xml:space="preserve">OC Trigger Headroom</t>
  </si>
  <si>
    <t xml:space="preserve">[Minimum OC Ratio] - [OC Trigger Value]</t>
  </si>
  <si>
    <t xml:space="preserve">Distance to the OC trigger at the tightest point.</t>
  </si>
  <si>
    <t xml:space="preserve">Minimum OC Ratio, OC Trigger Value</t>
  </si>
  <si>
    <t xml:space="preserve">D10-21</t>
  </si>
  <si>
    <t xml:space="preserve">Arena</t>
  </si>
  <si>
    <t xml:space="preserve">Arena W Equity</t>
  </si>
  <si>
    <t xml:space="preserve">CALCULATE ( MAX ( DimParameters[Value] ), DimParameters[Parameter] = "Arena weight - Equity" )</t>
  </si>
  <si>
    <t xml:space="preserve">Points lost per full equity loss / breach (DimParameters).</t>
  </si>
  <si>
    <t xml:space="preserve">D10-22</t>
  </si>
  <si>
    <t xml:space="preserve">Arena W Junior</t>
  </si>
  <si>
    <t xml:space="preserve">CALCULATE ( MAX ( DimParameters[Value] ), DimParameters[Parameter] = "Arena weight - Junior" )</t>
  </si>
  <si>
    <t xml:space="preserve">Points lost per full junior loss / breach (DimParameters).</t>
  </si>
  <si>
    <t xml:space="preserve">D10-23</t>
  </si>
  <si>
    <t xml:space="preserve">Arena W Mezzanine</t>
  </si>
  <si>
    <t xml:space="preserve">CALCULATE ( MAX ( DimParameters[Value] ), DimParameters[Parameter] = "Arena weight - Mezzanine" )</t>
  </si>
  <si>
    <t xml:space="preserve">Points lost per full mezzanine loss / breach (DimParameters).</t>
  </si>
  <si>
    <t xml:space="preserve">D10-24</t>
  </si>
  <si>
    <t xml:space="preserve">Arena W Senior</t>
  </si>
  <si>
    <t xml:space="preserve">CALCULATE ( MAX ( DimParameters[Value] ), DimParameters[Parameter] = "Arena weight - Senior" )</t>
  </si>
  <si>
    <t xml:space="preserve">Points lost per full senior loss / breach (DimParameters).</t>
  </si>
  <si>
    <t xml:space="preserve">D10-25</t>
  </si>
  <si>
    <t xml:space="preserve">Arena W Trigger breach</t>
  </si>
  <si>
    <t xml:space="preserve">CALCULATE ( MAX ( DimParameters[Value] ), DimParameters[Parameter] = "Arena weight - Trigger breach" )</t>
  </si>
  <si>
    <t xml:space="preserve">Points lost per full trigger breach loss / breach (DimParameters).</t>
  </si>
  <si>
    <t xml:space="preserve">D10-26</t>
  </si>
  <si>
    <t xml:space="preserve">Arena Min Fortress</t>
  </si>
  <si>
    <t xml:space="preserve">CALCULATE ( MAX ( DimParameters[Value] ), DimParameters[Parameter] = "Arena rating - Fortress (min score)" )</t>
  </si>
  <si>
    <t xml:space="preserve">Minimum score for the Fortress rating (DimParameters).</t>
  </si>
  <si>
    <t xml:space="preserve">D10-27</t>
  </si>
  <si>
    <t xml:space="preserve">Arena Min Resilient</t>
  </si>
  <si>
    <t xml:space="preserve">CALCULATE ( MAX ( DimParameters[Value] ), DimParameters[Parameter] = "Arena rating - Resilient (min score)" )</t>
  </si>
  <si>
    <t xml:space="preserve">Minimum score for the Resilient rating (DimParameters).</t>
  </si>
  <si>
    <t xml:space="preserve">D10-28</t>
  </si>
  <si>
    <t xml:space="preserve">Arena Min Stressed</t>
  </si>
  <si>
    <t xml:space="preserve">CALCULATE ( MAX ( DimParameters[Value] ), DimParameters[Parameter] = "Arena rating - Stressed (min score)" )</t>
  </si>
  <si>
    <t xml:space="preserve">Minimum score for the Stressed rating (DimParameters).</t>
  </si>
  <si>
    <t xml:space="preserve">D10-29</t>
  </si>
  <si>
    <t xml:space="preserve">Mezzanine Loss %</t>
  </si>
  <si>
    <t xml:space="preserve">CALCULATE ( [Writedown % of Tranche], DimTranche[tranche] = "Class B (Mezzanine)" )</t>
  </si>
  <si>
    <t xml:space="preserve">Class B write-down %.</t>
  </si>
  <si>
    <t xml:space="preserve">D10-30</t>
  </si>
  <si>
    <t xml:space="preserve">Senior Loss %</t>
  </si>
  <si>
    <t xml:space="preserve">CALCULATE ( [Writedown % of Tranche], DimTranche[tranche] = "Class A (Senior)" )</t>
  </si>
  <si>
    <t xml:space="preserve">Class A write-down %.</t>
  </si>
  <si>
    <t xml:space="preserve">D10-31</t>
  </si>
  <si>
    <t xml:space="preserve">Arena Score</t>
  </si>
  <si>
    <t xml:space="preserve">MAX ( 0, ROUND ( 100
    - [Arena W Equity]         * [Equity Loss %]
    - [Arena W Junior]         * [Junior Tranche Loss %]
    - [Arena W Mezzanine]      * [Mezzanine Loss %]
    - [Arena W Senior]         * [Senior Loss %]
    - [Arena W Trigger breach] * [Trigger Breach Count], 0 ) )</t>
  </si>
  <si>
    <t xml:space="preserve">Crisis-survival score 0-100 for the scenario in context: starts at 100, loses points for write-downs by seniority and for each trigger breached.</t>
  </si>
  <si>
    <t xml:space="preserve">Arena W Equity, Arena W Junior, Arena W Mezzanine, Arena W Senior, Arena W Trigger breach, Equity Loss %, Junior Tranche Loss %, Mezzanine Loss %, Senior Loss %, Trigger Breach Count</t>
  </si>
  <si>
    <t xml:space="preserve">D10-32</t>
  </si>
  <si>
    <t xml:space="preserve">Arena Rating</t>
  </si>
  <si>
    <t xml:space="preserve">SWITCH ( TRUE (),
    [Arena Score] &gt;= [Arena Min Fortress],  "Fortress",
    [Arena Score] &gt;= [Arena Min Resilient], "Resilient",
    [Arena Score] &gt;= [Arena Min Stressed],  "Stressed",
    "Crisis" )</t>
  </si>
  <si>
    <t xml:space="preserve">Rating band from the score.</t>
  </si>
  <si>
    <t xml:space="preserve">Arena Min Fortress, Arena Min Resilient, Arena Min Stressed, Arena Score</t>
  </si>
  <si>
    <t xml:space="preserve">D10-33</t>
  </si>
  <si>
    <t xml:space="preserve">Arena Message</t>
  </si>
  <si>
    <t xml:space="preserve">"Scenario: " &amp; SELECTEDVALUE ( DimScenario[scenario], "All" )
    &amp; " | Cum. loss " &amp; FORMAT ( [Cum Loss % at Horizon], "0.0%" )
    &amp; " | Score " &amp; [Arena Score] &amp; " - " &amp; [Arena Rating]</t>
  </si>
  <si>
    <t xml:space="preserve">Narrative line for the Arena scoreboard card.</t>
  </si>
  <si>
    <t xml:space="preserve">Arena Rating, Arena Score, Cum Loss % at Horizon</t>
  </si>
  <si>
    <t xml:space="preserve">D11-01</t>
  </si>
  <si>
    <t xml:space="preserve">Loss &amp; recovery</t>
  </si>
  <si>
    <t xml:space="preserve">Cumulative Net Loss (Reporting)</t>
  </si>
  <si>
    <t xml:space="preserve">VAR LastD = MAX ( FactDynamicLoss[MonthEnd] )
RETURN CALCULATE ( [Net Loss (Monthly)], FILTER ( ALL ( DimDate[Date] ), DimDate[Date] &lt;= LastD ) )</t>
  </si>
  <si>
    <t xml:space="preserve">Cumulative net loss over the reporting history.</t>
  </si>
  <si>
    <t xml:space="preserve">D11-02</t>
  </si>
  <si>
    <t xml:space="preserve">Cumulative Net Loss % of Original</t>
  </si>
  <si>
    <t xml:space="preserve">DIVIDE ( [Cumulative Net Loss (Reporting)], CALCULATE ( [Original Balance], REMOVEFILTERS () ) )</t>
  </si>
  <si>
    <t xml:space="preserve">Cumulative net loss / original pool balance.</t>
  </si>
  <si>
    <t xml:space="preserve">Cumulative Net Loss (Reporting), Original Balance</t>
  </si>
  <si>
    <t xml:space="preserve">D11-03</t>
  </si>
  <si>
    <t xml:space="preserve">Annualised Default Rate (All Months)</t>
  </si>
  <si>
    <t xml:space="preserve">1 - POWER ( 1 - DIVIDE ( SUM ( FactDynamicLoss[NewDefaults_Balance] ), SUM ( FactDynamicLoss[BOP_Balance] ) ), 12 )</t>
  </si>
  <si>
    <t xml:space="preserve">Annualised default rate using all 12 monthly rows (used to calibrate the base CDR).</t>
  </si>
  <si>
    <t xml:space="preserve">D11-04</t>
  </si>
  <si>
    <t xml:space="preserve">Prepayment</t>
  </si>
  <si>
    <t xml:space="preserve">SMM</t>
  </si>
  <si>
    <t xml:space="preserve">DIVIDE ( SUM ( FactDynamicLoss[Prepayments_ThisMonth] ), SUM ( FactDynamicLoss[BOP_Balance] ) )</t>
  </si>
  <si>
    <t xml:space="preserve">Single monthly mortality.</t>
  </si>
  <si>
    <t xml:space="preserve">D11-05</t>
  </si>
  <si>
    <t xml:space="preserve">CPR (Annualised)</t>
  </si>
  <si>
    <t xml:space="preserve">1 - POWER ( 1 - [SMM], 12 )</t>
  </si>
  <si>
    <t xml:space="preserve">Annualised conditional prepayment rate.</t>
  </si>
  <si>
    <t xml:space="preserve">D11-06</t>
  </si>
  <si>
    <t xml:space="preserve">Collection Efficiency</t>
  </si>
  <si>
    <t xml:space="preserve">DIVIDE ( SUM ( FactDynamicLoss[CollectionsTotal] ), SUM ( FactDynamicLoss[BillingAmount] ) )</t>
  </si>
  <si>
    <t xml:space="preserve">Collections / billing.</t>
  </si>
  <si>
    <t xml:space="preserve">D11-07</t>
  </si>
  <si>
    <t xml:space="preserve">Excess Spread (Reported)</t>
  </si>
  <si>
    <t xml:space="preserve">SUM ( FactDynamicLoss[ExcessSpread_Monthly] )</t>
  </si>
  <si>
    <t xml:space="preserve">Excess spread as reported in the servicer file.</t>
  </si>
  <si>
    <t xml:space="preserve">D11-08</t>
  </si>
  <si>
    <t xml:space="preserve">Excess Spread % (Reported, annualised)</t>
  </si>
  <si>
    <t xml:space="preserve">DIVIDE ( SUM ( FactDynamicLoss[ExcessSpread_Monthly] ), SUM ( FactDynamicLoss[BOP_Balance] ) ) * 12</t>
  </si>
  <si>
    <t xml:space="preserve">Annualised reported excess spread / opening balance.</t>
  </si>
  <si>
    <t xml:space="preserve">D11-09</t>
  </si>
  <si>
    <t xml:space="preserve">Report header</t>
  </si>
  <si>
    <t xml:space="preserve">Report Month Label</t>
  </si>
  <si>
    <t xml:space="preserve">FORMAT ( MAX ( FactDynamicLoss[MonthEnd] ), "mmm yyyy" )</t>
  </si>
  <si>
    <t xml:space="preserve">Header label for servicer-report pages.</t>
  </si>
  <si>
    <t xml:space="preserve">D11-10</t>
  </si>
  <si>
    <t xml:space="preserve">Data tape</t>
  </si>
  <si>
    <t xml:space="preserve">Data Tape Field Completeness %</t>
  </si>
  <si>
    <t xml:space="preserve">DIVIDE ( COUNTROWS ( FILTER ( DataFieldMapping, DataFieldMapping[Status] IN { "Present", "Computed" } ) ), COUNTROWS ( DataFieldMapping ) )</t>
  </si>
  <si>
    <t xml:space="preserve">Share of rating-agency fields (Brief A2.1) present or computable from the supplied data.</t>
  </si>
  <si>
    <t xml:space="preserve">D12-01</t>
  </si>
  <si>
    <t xml:space="preserve">Security</t>
  </si>
  <si>
    <t xml:space="preserve">Current User</t>
  </si>
  <si>
    <t xml:space="preserve">USERPRINCIPALNAME ()</t>
  </si>
  <si>
    <t xml:space="preserve">Signed-in user (for RLS testing).</t>
  </si>
  <si>
    <t xml:space="preserve">D12-02</t>
  </si>
  <si>
    <t xml:space="preserve">Current User Role</t>
  </si>
  <si>
    <t xml:space="preserve">LOOKUPVALUE ( DimSecurity[Role], DimSecurity[UserEmail], USERPRINCIPALNAME (), "Unmapped" )</t>
  </si>
  <si>
    <t xml:space="preserve">Role of the signed-in user per DimSecurity.</t>
  </si>
  <si>
    <t xml:space="preserve">D12-03</t>
  </si>
  <si>
    <t xml:space="preserve">Loans Visible to User</t>
  </si>
  <si>
    <t xml:space="preserve">[Loan Count]</t>
  </si>
  <si>
    <t xml:space="preserve">Row-count check under 'View as role' (must differ by role).</t>
  </si>
  <si>
    <t xml:space="preserve">D12-04</t>
  </si>
  <si>
    <t xml:space="preserve">Validation</t>
  </si>
  <si>
    <t xml:space="preserve">Reconciliation Break (Tape vs Dynamic)</t>
  </si>
  <si>
    <t xml:space="preserve">VAR LastSeq = CALCULATE ( MAX ( FactDynamicLoss[ReportingSeq] ), REMOVEFILTERS () )
RETURN CALCULATE ( [Total Outstanding Balance], REMOVEFILTERS () )
     - CALCULATE ( SUM ( FactDynamicLoss[EOP_Balance] ), REMOVEFILTERS (), FactDynamicLoss[ReportingSeq] = LastSeq )</t>
  </si>
  <si>
    <t xml:space="preserve">Tape balance minus the dynamic file's closing balance (reconciliation break, DQ10).</t>
  </si>
  <si>
    <t xml:space="preserve">D12-05</t>
  </si>
  <si>
    <t xml:space="preserve">High-Severity Data Issues</t>
  </si>
  <si>
    <t xml:space="preserve">CALCULATE ( COUNTROWS ( DataQualityLog ), DataQualityLog[severity] = "High" )</t>
  </si>
  <si>
    <t xml:space="preserve">Number of high-severity data-quality findings.</t>
  </si>
  <si>
    <t xml:space="preserve">D12-06</t>
  </si>
  <si>
    <t xml:space="preserve">ECL Check Flag</t>
  </si>
  <si>
    <t xml:space="preserve">IF ( ABS ( [ECL Recompute Variance] ) &lt; 1, "PASS", "FAIL" )</t>
  </si>
  <si>
    <t xml:space="preserve">Pass/fail flag for the PD x LGD x EAD recomputation.</t>
  </si>
  <si>
    <t xml:space="preserve">Legend</t>
  </si>
  <si>
    <t xml:space="preserve">Blue = value computed independently in Python (pandas) from the supplied CSVs.</t>
  </si>
  <si>
    <t xml:space="preserve">Yellow = paste the value your Power BI measure returns (card, no filters); column K then shows MATCH / CHECK.</t>
  </si>
  <si>
    <t xml:space="preserve">Focus</t>
  </si>
  <si>
    <t xml:space="preserve">Measures</t>
  </si>
  <si>
    <t xml:space="preserve">Core pool, delinquency and weighted-average measures</t>
  </si>
  <si>
    <t xml:space="preserve">Time intelligence and trend alerts</t>
  </si>
  <si>
    <t xml:space="preserve">Advanced DAX, virtual tables, concentration</t>
  </si>
  <si>
    <t xml:space="preserve">Waterfall, tranche allocation and trigger testing</t>
  </si>
  <si>
    <t xml:space="preserve">DPD distribution, roll rates and ageing</t>
  </si>
  <si>
    <t xml:space="preserve">Vintage / static pool analysis</t>
  </si>
  <si>
    <t xml:space="preserve">IFRS 9 ECL framework</t>
  </si>
  <si>
    <t xml:space="preserve">Stress testing and what-if</t>
  </si>
  <si>
    <t xml:space="preserve">Investor reporting and data tape</t>
  </si>
  <si>
    <t xml:space="preserve">Security, governance and validation</t>
  </si>
  <si>
    <t xml:space="preserve">Total</t>
  </si>
  <si>
    <t xml:space="preserve">Brief requirement</t>
  </si>
  <si>
    <t xml:space="preserve">Meets 80+ requirement?</t>
  </si>
  <si>
    <t xml:space="preserve">Parameter table</t>
  </si>
  <si>
    <t xml:space="preserve">DAX</t>
  </si>
  <si>
    <t xml:space="preserve">Purpose</t>
  </si>
  <si>
    <t xml:space="preserve">ParamDefaultMult</t>
  </si>
  <si>
    <t xml:space="preserve">GENERATESERIES ( 0.5, 5, 0.1 )</t>
  </si>
  <si>
    <t xml:space="preserve">Default-rate multiplier (x)</t>
  </si>
  <si>
    <t xml:space="preserve">ParamRecoveryHaircut</t>
  </si>
  <si>
    <t xml:space="preserve">GENERATESERIES ( 0, 0.5, 0.05 )</t>
  </si>
  <si>
    <t xml:space="preserve">Recovery haircut = additive LGD (pts)</t>
  </si>
  <si>
    <t xml:space="preserve">ParamCPRChange</t>
  </si>
  <si>
    <t xml:space="preserve">GENERATESERIES ( -0.1, 0.1, 0.01 )</t>
  </si>
  <si>
    <t xml:space="preserve">Change in annual CPR (pts)</t>
  </si>
  <si>
    <t xml:space="preserve">ParamRateShock</t>
  </si>
  <si>
    <t xml:space="preserve">GENERATESERIES ( 0, 500, 25 )</t>
  </si>
  <si>
    <t xml:space="preserve">Interest-rate shock (bps)</t>
  </si>
  <si>
    <t xml:space="preserve">ParamStage2DPD</t>
  </si>
  <si>
    <t xml:space="preserve">GENERATESERIES ( 0, 120, 5 )</t>
  </si>
  <si>
    <t xml:space="preserve">Stage 2 DPD threshold (tape = 30, brief = 60)</t>
  </si>
  <si>
    <t xml:space="preserve">ParamStage3DPD</t>
  </si>
  <si>
    <t xml:space="preserve">GENERATESERIES ( 60, 180, 5 )</t>
  </si>
  <si>
    <t xml:space="preserve">Stage 3 DPD threshold (tape = 90, brief = 120)</t>
  </si>
  <si>
    <t xml:space="preserve">ParamDelinqTrigger</t>
  </si>
  <si>
    <t xml:space="preserve">GENERATESERIES ( 0.05, 0.25, 0.005 )</t>
  </si>
  <si>
    <t xml:space="preserve">Delinquency trigger level</t>
  </si>
  <si>
    <t xml:space="preserve">ParamCNLTrigger</t>
  </si>
  <si>
    <t xml:space="preserve">GENERATESERIES ( 0.005, 0.1, 0.0025 )</t>
  </si>
  <si>
    <t xml:space="preserve">Cumulative net loss trigger level</t>
  </si>
  <si>
    <t xml:space="preserve">ParamOCTrigger</t>
  </si>
  <si>
    <t xml:space="preserve">GENERATESERIES ( 1, 1.3, 0.01 )</t>
  </si>
  <si>
    <t xml:space="preserve">OC ratio trigger (minimum)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</si>
</sst>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sz val="9"/>
      <color rgb="FF0000FF"/>
      <name val="Arial"/>
      <family val="0"/>
      <charset val="1"/>
    </font>
    <font>
      <sz val="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B2545"/>
        <bgColor rgb="FF333333"/>
      </patternFill>
    </fill>
    <fill>
      <patternFill patternType="solid">
        <fgColor rgb="FFFFFF99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0B2545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99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B2545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5"/>
    <col collapsed="false" customWidth="true" hidden="false" outlineLevel="0" max="3" min="3" style="0" width="16"/>
    <col collapsed="false" customWidth="true" hidden="false" outlineLevel="0" max="4" min="4" style="0" width="32"/>
    <col collapsed="false" customWidth="true" hidden="false" outlineLevel="0" max="5" min="5" style="0" width="70"/>
    <col collapsed="false" customWidth="true" hidden="false" outlineLevel="0" max="6" min="6" style="0" width="48"/>
    <col collapsed="false" customWidth="true" hidden="false" outlineLevel="0" max="7" min="7" style="0" width="34"/>
    <col collapsed="false" customWidth="true" hidden="false" outlineLevel="0" max="8" min="8" style="0" width="9"/>
    <col collapsed="false" customWidth="true" hidden="false" outlineLevel="0" max="9" min="9" style="0" width="18"/>
    <col collapsed="false" customWidth="true" hidden="false" outlineLevel="0" max="10" min="10" style="0" width="16"/>
    <col collapsed="false" customWidth="true" hidden="false" outlineLevel="0" max="11" min="11" style="0" width="14"/>
    <col collapsed="false" customWidth="true" hidden="false" outlineLevel="0" max="12" min="12" style="0" width="12"/>
    <col collapsed="false" customWidth="true" hidden="false" outlineLevel="0" max="13" min="13" style="0" width="10"/>
  </cols>
  <sheetData>
    <row r="1" customFormat="false" ht="39.5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5" hidden="false" customHeight="false" outlineLevel="0" collapsed="false">
      <c r="A2" s="2" t="s">
        <v>13</v>
      </c>
      <c r="B2" s="2" t="n">
        <v>3</v>
      </c>
      <c r="C2" s="2" t="s">
        <v>14</v>
      </c>
      <c r="D2" s="2" t="s">
        <v>15</v>
      </c>
      <c r="E2" s="3" t="s">
        <v>16</v>
      </c>
      <c r="F2" s="3" t="s">
        <v>17</v>
      </c>
      <c r="G2" s="3"/>
      <c r="H2" s="2" t="s">
        <v>18</v>
      </c>
      <c r="I2" s="4" t="n">
        <v>317785202.14</v>
      </c>
      <c r="J2" s="5"/>
      <c r="K2" s="2" t="str">
        <f aca="false">IF(OR(J2="",I2=""),"",IF(ABS(J2-I2)&lt;=MAX(0.0001,ABS(I2)*0.0001),"MATCH","CHECK"))</f>
        <v/>
      </c>
      <c r="L2" s="2"/>
      <c r="M2" s="2"/>
    </row>
    <row r="3" customFormat="false" ht="15" hidden="false" customHeight="false" outlineLevel="0" collapsed="false">
      <c r="A3" s="2" t="s">
        <v>19</v>
      </c>
      <c r="B3" s="2" t="n">
        <v>3</v>
      </c>
      <c r="C3" s="2" t="s">
        <v>14</v>
      </c>
      <c r="D3" s="2" t="s">
        <v>20</v>
      </c>
      <c r="E3" s="3" t="s">
        <v>21</v>
      </c>
      <c r="F3" s="3" t="s">
        <v>22</v>
      </c>
      <c r="G3" s="3"/>
      <c r="H3" s="2" t="s">
        <v>18</v>
      </c>
      <c r="I3" s="4" t="n">
        <v>546073700</v>
      </c>
      <c r="J3" s="5"/>
      <c r="K3" s="2" t="str">
        <f aca="false">IF(OR(J3="",I3=""),"",IF(ABS(J3-I3)&lt;=MAX(0.0001,ABS(I3)*0.0001),"MATCH","CHECK"))</f>
        <v/>
      </c>
      <c r="L3" s="2"/>
      <c r="M3" s="2"/>
    </row>
    <row r="4" customFormat="false" ht="23.85" hidden="false" customHeight="false" outlineLevel="0" collapsed="false">
      <c r="A4" s="2" t="s">
        <v>23</v>
      </c>
      <c r="B4" s="2" t="n">
        <v>3</v>
      </c>
      <c r="C4" s="2" t="s">
        <v>14</v>
      </c>
      <c r="D4" s="2" t="s">
        <v>24</v>
      </c>
      <c r="E4" s="3" t="s">
        <v>25</v>
      </c>
      <c r="F4" s="3" t="s">
        <v>26</v>
      </c>
      <c r="G4" s="3" t="s">
        <v>27</v>
      </c>
      <c r="H4" s="2" t="s">
        <v>28</v>
      </c>
      <c r="I4" s="4" t="n">
        <v>0.581946</v>
      </c>
      <c r="J4" s="5"/>
      <c r="K4" s="2" t="str">
        <f aca="false">IF(OR(J4="",I4=""),"",IF(ABS(J4-I4)&lt;=MAX(0.0001,ABS(I4)*0.0001),"MATCH","CHECK"))</f>
        <v/>
      </c>
      <c r="L4" s="2"/>
      <c r="M4" s="2"/>
    </row>
    <row r="5" customFormat="false" ht="15" hidden="false" customHeight="false" outlineLevel="0" collapsed="false">
      <c r="A5" s="2" t="s">
        <v>29</v>
      </c>
      <c r="B5" s="2" t="n">
        <v>3</v>
      </c>
      <c r="C5" s="2" t="s">
        <v>14</v>
      </c>
      <c r="D5" s="2" t="s">
        <v>30</v>
      </c>
      <c r="E5" s="3" t="s">
        <v>31</v>
      </c>
      <c r="F5" s="3" t="s">
        <v>32</v>
      </c>
      <c r="G5" s="3"/>
      <c r="H5" s="2" t="s">
        <v>18</v>
      </c>
      <c r="I5" s="4" t="n">
        <v>326164171.9</v>
      </c>
      <c r="J5" s="5"/>
      <c r="K5" s="2" t="str">
        <f aca="false">IF(OR(J5="",I5=""),"",IF(ABS(J5-I5)&lt;=MAX(0.0001,ABS(I5)*0.0001),"MATCH","CHECK"))</f>
        <v/>
      </c>
      <c r="L5" s="2"/>
      <c r="M5" s="2"/>
    </row>
    <row r="6" customFormat="false" ht="15" hidden="false" customHeight="false" outlineLevel="0" collapsed="false">
      <c r="A6" s="2" t="s">
        <v>33</v>
      </c>
      <c r="B6" s="2" t="n">
        <v>3</v>
      </c>
      <c r="C6" s="2" t="s">
        <v>34</v>
      </c>
      <c r="D6" s="2" t="s">
        <v>35</v>
      </c>
      <c r="E6" s="3" t="s">
        <v>36</v>
      </c>
      <c r="F6" s="3" t="s">
        <v>37</v>
      </c>
      <c r="G6" s="3"/>
      <c r="H6" s="2" t="s">
        <v>18</v>
      </c>
      <c r="I6" s="4" t="n">
        <v>500</v>
      </c>
      <c r="J6" s="5"/>
      <c r="K6" s="2" t="str">
        <f aca="false">IF(OR(J6="",I6=""),"",IF(ABS(J6-I6)&lt;=MAX(0.0001,ABS(I6)*0.0001),"MATCH","CHECK"))</f>
        <v/>
      </c>
      <c r="L6" s="2"/>
      <c r="M6" s="2"/>
    </row>
    <row r="7" customFormat="false" ht="23.85" hidden="false" customHeight="false" outlineLevel="0" collapsed="false">
      <c r="A7" s="2" t="s">
        <v>38</v>
      </c>
      <c r="B7" s="2" t="n">
        <v>3</v>
      </c>
      <c r="C7" s="2" t="s">
        <v>34</v>
      </c>
      <c r="D7" s="2" t="s">
        <v>39</v>
      </c>
      <c r="E7" s="3" t="s">
        <v>40</v>
      </c>
      <c r="F7" s="3" t="s">
        <v>41</v>
      </c>
      <c r="G7" s="3"/>
      <c r="H7" s="2" t="s">
        <v>18</v>
      </c>
      <c r="I7" s="4" t="n">
        <v>476</v>
      </c>
      <c r="J7" s="5"/>
      <c r="K7" s="2" t="str">
        <f aca="false">IF(OR(J7="",I7=""),"",IF(ABS(J7-I7)&lt;=MAX(0.0001,ABS(I7)*0.0001),"MATCH","CHECK"))</f>
        <v/>
      </c>
      <c r="L7" s="2"/>
      <c r="M7" s="2"/>
    </row>
    <row r="8" customFormat="false" ht="15" hidden="false" customHeight="false" outlineLevel="0" collapsed="false">
      <c r="A8" s="2" t="s">
        <v>42</v>
      </c>
      <c r="B8" s="2" t="n">
        <v>3</v>
      </c>
      <c r="C8" s="2" t="s">
        <v>34</v>
      </c>
      <c r="D8" s="2" t="s">
        <v>43</v>
      </c>
      <c r="E8" s="3" t="s">
        <v>44</v>
      </c>
      <c r="F8" s="3" t="s">
        <v>45</v>
      </c>
      <c r="G8" s="3"/>
      <c r="H8" s="2" t="s">
        <v>18</v>
      </c>
      <c r="I8" s="4" t="n">
        <v>9</v>
      </c>
      <c r="J8" s="5"/>
      <c r="K8" s="2" t="str">
        <f aca="false">IF(OR(J8="",I8=""),"",IF(ABS(J8-I8)&lt;=MAX(0.0001,ABS(I8)*0.0001),"MATCH","CHECK"))</f>
        <v/>
      </c>
      <c r="L8" s="2"/>
      <c r="M8" s="2"/>
    </row>
    <row r="9" customFormat="false" ht="23.85" hidden="false" customHeight="false" outlineLevel="0" collapsed="false">
      <c r="A9" s="2" t="s">
        <v>46</v>
      </c>
      <c r="B9" s="2" t="n">
        <v>3</v>
      </c>
      <c r="C9" s="2" t="s">
        <v>34</v>
      </c>
      <c r="D9" s="2" t="s">
        <v>47</v>
      </c>
      <c r="E9" s="3" t="s">
        <v>48</v>
      </c>
      <c r="F9" s="3" t="s">
        <v>49</v>
      </c>
      <c r="G9" s="3"/>
      <c r="H9" s="2" t="s">
        <v>18</v>
      </c>
      <c r="I9" s="4"/>
      <c r="J9" s="5"/>
      <c r="K9" s="2"/>
      <c r="L9" s="2"/>
      <c r="M9" s="2"/>
    </row>
    <row r="10" customFormat="false" ht="15" hidden="false" customHeight="false" outlineLevel="0" collapsed="false">
      <c r="A10" s="2" t="s">
        <v>50</v>
      </c>
      <c r="B10" s="2" t="n">
        <v>3</v>
      </c>
      <c r="C10" s="2" t="s">
        <v>51</v>
      </c>
      <c r="D10" s="2" t="s">
        <v>52</v>
      </c>
      <c r="E10" s="3" t="s">
        <v>53</v>
      </c>
      <c r="F10" s="3" t="s">
        <v>54</v>
      </c>
      <c r="G10" s="3" t="s">
        <v>15</v>
      </c>
      <c r="H10" s="2" t="s">
        <v>18</v>
      </c>
      <c r="I10" s="4"/>
      <c r="J10" s="5"/>
      <c r="K10" s="2"/>
      <c r="L10" s="2"/>
      <c r="M10" s="2"/>
    </row>
    <row r="11" customFormat="false" ht="23.85" hidden="false" customHeight="false" outlineLevel="0" collapsed="false">
      <c r="A11" s="2" t="s">
        <v>55</v>
      </c>
      <c r="B11" s="2" t="n">
        <v>3</v>
      </c>
      <c r="C11" s="2" t="s">
        <v>56</v>
      </c>
      <c r="D11" s="2" t="s">
        <v>57</v>
      </c>
      <c r="E11" s="3" t="s">
        <v>58</v>
      </c>
      <c r="F11" s="3" t="s">
        <v>59</v>
      </c>
      <c r="G11" s="3" t="s">
        <v>15</v>
      </c>
      <c r="H11" s="2" t="s">
        <v>18</v>
      </c>
      <c r="I11" s="4"/>
      <c r="J11" s="5"/>
      <c r="K11" s="2"/>
      <c r="L11" s="2"/>
      <c r="M11" s="2"/>
    </row>
    <row r="12" customFormat="false" ht="23.85" hidden="false" customHeight="false" outlineLevel="0" collapsed="false">
      <c r="A12" s="2" t="s">
        <v>60</v>
      </c>
      <c r="B12" s="2" t="n">
        <v>3</v>
      </c>
      <c r="C12" s="2" t="s">
        <v>56</v>
      </c>
      <c r="D12" s="2" t="s">
        <v>61</v>
      </c>
      <c r="E12" s="3" t="s">
        <v>62</v>
      </c>
      <c r="F12" s="3" t="s">
        <v>63</v>
      </c>
      <c r="G12" s="3" t="s">
        <v>15</v>
      </c>
      <c r="H12" s="2" t="s">
        <v>18</v>
      </c>
      <c r="I12" s="4"/>
      <c r="J12" s="5"/>
      <c r="K12" s="2"/>
      <c r="L12" s="2"/>
      <c r="M12" s="2"/>
    </row>
    <row r="13" customFormat="false" ht="23.85" hidden="false" customHeight="false" outlineLevel="0" collapsed="false">
      <c r="A13" s="2" t="s">
        <v>64</v>
      </c>
      <c r="B13" s="2" t="n">
        <v>3</v>
      </c>
      <c r="C13" s="2" t="s">
        <v>56</v>
      </c>
      <c r="D13" s="2" t="s">
        <v>65</v>
      </c>
      <c r="E13" s="3" t="s">
        <v>66</v>
      </c>
      <c r="F13" s="3" t="s">
        <v>67</v>
      </c>
      <c r="G13" s="3" t="s">
        <v>15</v>
      </c>
      <c r="H13" s="2" t="s">
        <v>18</v>
      </c>
      <c r="I13" s="4"/>
      <c r="J13" s="5"/>
      <c r="K13" s="2"/>
      <c r="L13" s="2"/>
      <c r="M13" s="2"/>
    </row>
    <row r="14" customFormat="false" ht="23.85" hidden="false" customHeight="false" outlineLevel="0" collapsed="false">
      <c r="A14" s="2" t="s">
        <v>68</v>
      </c>
      <c r="B14" s="2" t="n">
        <v>3</v>
      </c>
      <c r="C14" s="2" t="s">
        <v>56</v>
      </c>
      <c r="D14" s="2" t="s">
        <v>69</v>
      </c>
      <c r="E14" s="3" t="s">
        <v>70</v>
      </c>
      <c r="F14" s="3" t="s">
        <v>71</v>
      </c>
      <c r="G14" s="3" t="s">
        <v>15</v>
      </c>
      <c r="H14" s="2" t="s">
        <v>18</v>
      </c>
      <c r="I14" s="4"/>
      <c r="J14" s="5"/>
      <c r="K14" s="2"/>
      <c r="L14" s="2"/>
      <c r="M14" s="2"/>
    </row>
    <row r="15" customFormat="false" ht="23.85" hidden="false" customHeight="false" outlineLevel="0" collapsed="false">
      <c r="A15" s="2" t="s">
        <v>72</v>
      </c>
      <c r="B15" s="2" t="n">
        <v>3</v>
      </c>
      <c r="C15" s="2" t="s">
        <v>56</v>
      </c>
      <c r="D15" s="2" t="s">
        <v>73</v>
      </c>
      <c r="E15" s="3" t="s">
        <v>74</v>
      </c>
      <c r="F15" s="3" t="s">
        <v>75</v>
      </c>
      <c r="G15" s="3" t="s">
        <v>15</v>
      </c>
      <c r="H15" s="2" t="s">
        <v>18</v>
      </c>
      <c r="I15" s="4"/>
      <c r="J15" s="5"/>
      <c r="K15" s="2"/>
      <c r="L15" s="2"/>
      <c r="M15" s="2"/>
    </row>
    <row r="16" customFormat="false" ht="23.85" hidden="false" customHeight="false" outlineLevel="0" collapsed="false">
      <c r="A16" s="2" t="s">
        <v>76</v>
      </c>
      <c r="B16" s="2" t="n">
        <v>3</v>
      </c>
      <c r="C16" s="2" t="s">
        <v>56</v>
      </c>
      <c r="D16" s="2" t="s">
        <v>77</v>
      </c>
      <c r="E16" s="3" t="s">
        <v>78</v>
      </c>
      <c r="F16" s="3" t="s">
        <v>79</v>
      </c>
      <c r="G16" s="3" t="s">
        <v>15</v>
      </c>
      <c r="H16" s="2" t="s">
        <v>18</v>
      </c>
      <c r="I16" s="4"/>
      <c r="J16" s="5"/>
      <c r="K16" s="2"/>
      <c r="L16" s="2"/>
      <c r="M16" s="2"/>
    </row>
    <row r="17" customFormat="false" ht="15" hidden="false" customHeight="false" outlineLevel="0" collapsed="false">
      <c r="A17" s="2" t="s">
        <v>80</v>
      </c>
      <c r="B17" s="2" t="n">
        <v>3</v>
      </c>
      <c r="C17" s="2" t="s">
        <v>56</v>
      </c>
      <c r="D17" s="2" t="s">
        <v>81</v>
      </c>
      <c r="E17" s="3" t="s">
        <v>82</v>
      </c>
      <c r="F17" s="3" t="s">
        <v>83</v>
      </c>
      <c r="G17" s="3" t="s">
        <v>15</v>
      </c>
      <c r="H17" s="2" t="s">
        <v>18</v>
      </c>
      <c r="I17" s="4"/>
      <c r="J17" s="5"/>
      <c r="K17" s="2"/>
      <c r="L17" s="2"/>
      <c r="M17" s="2"/>
    </row>
    <row r="18" customFormat="false" ht="23.85" hidden="false" customHeight="false" outlineLevel="0" collapsed="false">
      <c r="A18" s="2" t="s">
        <v>84</v>
      </c>
      <c r="B18" s="2" t="n">
        <v>3</v>
      </c>
      <c r="C18" s="2" t="s">
        <v>56</v>
      </c>
      <c r="D18" s="2" t="s">
        <v>85</v>
      </c>
      <c r="E18" s="3" t="s">
        <v>86</v>
      </c>
      <c r="F18" s="3" t="s">
        <v>87</v>
      </c>
      <c r="G18" s="3" t="s">
        <v>88</v>
      </c>
      <c r="H18" s="2" t="s">
        <v>28</v>
      </c>
      <c r="I18" s="4" t="n">
        <v>0.141141</v>
      </c>
      <c r="J18" s="5"/>
      <c r="K18" s="2" t="str">
        <f aca="false">IF(OR(J18="",I18=""),"",IF(ABS(J18-I18)&lt;=MAX(0.0001,ABS(I18)*0.0001),"MATCH","CHECK"))</f>
        <v/>
      </c>
      <c r="L18" s="2"/>
      <c r="M18" s="2"/>
    </row>
    <row r="19" customFormat="false" ht="15" hidden="false" customHeight="false" outlineLevel="0" collapsed="false">
      <c r="A19" s="2" t="s">
        <v>89</v>
      </c>
      <c r="B19" s="2" t="n">
        <v>3</v>
      </c>
      <c r="C19" s="2" t="s">
        <v>56</v>
      </c>
      <c r="D19" s="2" t="s">
        <v>90</v>
      </c>
      <c r="E19" s="3" t="s">
        <v>91</v>
      </c>
      <c r="F19" s="3" t="s">
        <v>92</v>
      </c>
      <c r="G19" s="3" t="s">
        <v>15</v>
      </c>
      <c r="H19" s="2" t="s">
        <v>18</v>
      </c>
      <c r="I19" s="4"/>
      <c r="J19" s="5"/>
      <c r="K19" s="2"/>
      <c r="L19" s="2"/>
      <c r="M19" s="2"/>
    </row>
    <row r="20" customFormat="false" ht="23.85" hidden="false" customHeight="false" outlineLevel="0" collapsed="false">
      <c r="A20" s="2" t="s">
        <v>93</v>
      </c>
      <c r="B20" s="2" t="n">
        <v>3</v>
      </c>
      <c r="C20" s="2" t="s">
        <v>56</v>
      </c>
      <c r="D20" s="2" t="s">
        <v>94</v>
      </c>
      <c r="E20" s="3" t="s">
        <v>95</v>
      </c>
      <c r="F20" s="3" t="s">
        <v>96</v>
      </c>
      <c r="G20" s="3" t="s">
        <v>97</v>
      </c>
      <c r="H20" s="2" t="s">
        <v>28</v>
      </c>
      <c r="I20" s="4" t="n">
        <v>0.105873</v>
      </c>
      <c r="J20" s="5"/>
      <c r="K20" s="2" t="str">
        <f aca="false">IF(OR(J20="",I20=""),"",IF(ABS(J20-I20)&lt;=MAX(0.0001,ABS(I20)*0.0001),"MATCH","CHECK"))</f>
        <v/>
      </c>
      <c r="L20" s="2"/>
      <c r="M20" s="2"/>
    </row>
    <row r="21" customFormat="false" ht="15" hidden="false" customHeight="false" outlineLevel="0" collapsed="false">
      <c r="A21" s="2" t="s">
        <v>98</v>
      </c>
      <c r="B21" s="2" t="n">
        <v>3</v>
      </c>
      <c r="C21" s="2" t="s">
        <v>56</v>
      </c>
      <c r="D21" s="2" t="s">
        <v>99</v>
      </c>
      <c r="E21" s="3" t="s">
        <v>100</v>
      </c>
      <c r="F21" s="3" t="s">
        <v>101</v>
      </c>
      <c r="G21" s="3" t="s">
        <v>15</v>
      </c>
      <c r="H21" s="2" t="s">
        <v>18</v>
      </c>
      <c r="I21" s="4"/>
      <c r="J21" s="5"/>
      <c r="K21" s="2"/>
      <c r="L21" s="2"/>
      <c r="M21" s="2"/>
    </row>
    <row r="22" customFormat="false" ht="23.85" hidden="false" customHeight="false" outlineLevel="0" collapsed="false">
      <c r="A22" s="2" t="s">
        <v>102</v>
      </c>
      <c r="B22" s="2" t="n">
        <v>3</v>
      </c>
      <c r="C22" s="2" t="s">
        <v>56</v>
      </c>
      <c r="D22" s="2" t="s">
        <v>103</v>
      </c>
      <c r="E22" s="3" t="s">
        <v>104</v>
      </c>
      <c r="F22" s="3" t="s">
        <v>105</v>
      </c>
      <c r="G22" s="3" t="s">
        <v>106</v>
      </c>
      <c r="H22" s="2" t="s">
        <v>28</v>
      </c>
      <c r="I22" s="4" t="n">
        <v>0.055695</v>
      </c>
      <c r="J22" s="5"/>
      <c r="K22" s="2" t="str">
        <f aca="false">IF(OR(J22="",I22=""),"",IF(ABS(J22-I22)&lt;=MAX(0.0001,ABS(I22)*0.0001),"MATCH","CHECK"))</f>
        <v/>
      </c>
      <c r="L22" s="2"/>
      <c r="M22" s="2"/>
    </row>
    <row r="23" customFormat="false" ht="23.85" hidden="false" customHeight="false" outlineLevel="0" collapsed="false">
      <c r="A23" s="2" t="s">
        <v>107</v>
      </c>
      <c r="B23" s="2" t="n">
        <v>3</v>
      </c>
      <c r="C23" s="2" t="s">
        <v>108</v>
      </c>
      <c r="D23" s="2" t="s">
        <v>109</v>
      </c>
      <c r="E23" s="3" t="s">
        <v>110</v>
      </c>
      <c r="F23" s="3" t="s">
        <v>111</v>
      </c>
      <c r="G23" s="3" t="s">
        <v>15</v>
      </c>
      <c r="H23" s="2" t="s">
        <v>112</v>
      </c>
      <c r="I23" s="4" t="n">
        <v>0.109455</v>
      </c>
      <c r="J23" s="5"/>
      <c r="K23" s="2" t="str">
        <f aca="false">IF(OR(J23="",I23=""),"",IF(ABS(J23-I23)&lt;=MAX(0.0001,ABS(I23)*0.0001),"MATCH","CHECK"))</f>
        <v/>
      </c>
      <c r="L23" s="2"/>
      <c r="M23" s="2"/>
    </row>
    <row r="24" customFormat="false" ht="23.85" hidden="false" customHeight="false" outlineLevel="0" collapsed="false">
      <c r="A24" s="2" t="s">
        <v>113</v>
      </c>
      <c r="B24" s="2" t="n">
        <v>3</v>
      </c>
      <c r="C24" s="2" t="s">
        <v>108</v>
      </c>
      <c r="D24" s="2" t="s">
        <v>114</v>
      </c>
      <c r="E24" s="3" t="s">
        <v>115</v>
      </c>
      <c r="F24" s="3" t="s">
        <v>116</v>
      </c>
      <c r="G24" s="3" t="s">
        <v>15</v>
      </c>
      <c r="H24" s="2" t="s">
        <v>117</v>
      </c>
      <c r="I24" s="4" t="n">
        <v>45.142781</v>
      </c>
      <c r="J24" s="5"/>
      <c r="K24" s="2" t="str">
        <f aca="false">IF(OR(J24="",I24=""),"",IF(ABS(J24-I24)&lt;=MAX(0.0001,ABS(I24)*0.0001),"MATCH","CHECK"))</f>
        <v/>
      </c>
      <c r="L24" s="2"/>
      <c r="M24" s="2"/>
    </row>
    <row r="25" customFormat="false" ht="23.85" hidden="false" customHeight="false" outlineLevel="0" collapsed="false">
      <c r="A25" s="2" t="s">
        <v>118</v>
      </c>
      <c r="B25" s="2" t="n">
        <v>3</v>
      </c>
      <c r="C25" s="2" t="s">
        <v>108</v>
      </c>
      <c r="D25" s="2" t="s">
        <v>119</v>
      </c>
      <c r="E25" s="3" t="s">
        <v>120</v>
      </c>
      <c r="F25" s="3" t="s">
        <v>121</v>
      </c>
      <c r="G25" s="3" t="s">
        <v>15</v>
      </c>
      <c r="H25" s="2" t="s">
        <v>117</v>
      </c>
      <c r="I25" s="4" t="n">
        <v>16.755706</v>
      </c>
      <c r="J25" s="5"/>
      <c r="K25" s="2" t="str">
        <f aca="false">IF(OR(J25="",I25=""),"",IF(ABS(J25-I25)&lt;=MAX(0.0001,ABS(I25)*0.0001),"MATCH","CHECK"))</f>
        <v/>
      </c>
      <c r="L25" s="2"/>
      <c r="M25" s="2"/>
    </row>
    <row r="26" customFormat="false" ht="23.85" hidden="false" customHeight="false" outlineLevel="0" collapsed="false">
      <c r="A26" s="2" t="s">
        <v>122</v>
      </c>
      <c r="B26" s="2" t="n">
        <v>3</v>
      </c>
      <c r="C26" s="2" t="s">
        <v>108</v>
      </c>
      <c r="D26" s="2" t="s">
        <v>123</v>
      </c>
      <c r="E26" s="3" t="s">
        <v>124</v>
      </c>
      <c r="F26" s="3" t="s">
        <v>125</v>
      </c>
      <c r="G26" s="3" t="s">
        <v>15</v>
      </c>
      <c r="H26" s="2" t="s">
        <v>117</v>
      </c>
      <c r="I26" s="4" t="n">
        <v>61.898488</v>
      </c>
      <c r="J26" s="5"/>
      <c r="K26" s="2" t="str">
        <f aca="false">IF(OR(J26="",I26=""),"",IF(ABS(J26-I26)&lt;=MAX(0.0001,ABS(I26)*0.0001),"MATCH","CHECK"))</f>
        <v/>
      </c>
      <c r="L26" s="2"/>
      <c r="M26" s="2"/>
    </row>
    <row r="27" customFormat="false" ht="23.85" hidden="false" customHeight="false" outlineLevel="0" collapsed="false">
      <c r="A27" s="2" t="s">
        <v>126</v>
      </c>
      <c r="B27" s="2" t="n">
        <v>3</v>
      </c>
      <c r="C27" s="2" t="s">
        <v>108</v>
      </c>
      <c r="D27" s="2" t="s">
        <v>127</v>
      </c>
      <c r="E27" s="3" t="s">
        <v>128</v>
      </c>
      <c r="F27" s="3" t="s">
        <v>129</v>
      </c>
      <c r="G27" s="3" t="s">
        <v>15</v>
      </c>
      <c r="H27" s="2" t="s">
        <v>28</v>
      </c>
      <c r="I27" s="4"/>
      <c r="J27" s="5"/>
      <c r="K27" s="2"/>
      <c r="L27" s="2"/>
      <c r="M27" s="2"/>
    </row>
    <row r="28" customFormat="false" ht="23.85" hidden="false" customHeight="false" outlineLevel="0" collapsed="false">
      <c r="A28" s="2" t="s">
        <v>130</v>
      </c>
      <c r="B28" s="2" t="n">
        <v>3</v>
      </c>
      <c r="C28" s="2" t="s">
        <v>108</v>
      </c>
      <c r="D28" s="2" t="s">
        <v>131</v>
      </c>
      <c r="E28" s="3" t="s">
        <v>132</v>
      </c>
      <c r="F28" s="3" t="s">
        <v>133</v>
      </c>
      <c r="G28" s="3" t="s">
        <v>15</v>
      </c>
      <c r="H28" s="2" t="s">
        <v>28</v>
      </c>
      <c r="I28" s="4" t="n">
        <v>0.675413</v>
      </c>
      <c r="J28" s="5"/>
      <c r="K28" s="2" t="str">
        <f aca="false">IF(OR(J28="",I28=""),"",IF(ABS(J28-I28)&lt;=MAX(0.0001,ABS(I28)*0.0001),"MATCH","CHECK"))</f>
        <v/>
      </c>
      <c r="L28" s="2"/>
      <c r="M28" s="2"/>
    </row>
    <row r="29" customFormat="false" ht="23.85" hidden="false" customHeight="false" outlineLevel="0" collapsed="false">
      <c r="A29" s="2" t="s">
        <v>134</v>
      </c>
      <c r="B29" s="2" t="n">
        <v>3</v>
      </c>
      <c r="C29" s="2" t="s">
        <v>108</v>
      </c>
      <c r="D29" s="2" t="s">
        <v>135</v>
      </c>
      <c r="E29" s="3" t="s">
        <v>136</v>
      </c>
      <c r="F29" s="3" t="s">
        <v>137</v>
      </c>
      <c r="G29" s="3" t="s">
        <v>15</v>
      </c>
      <c r="H29" s="2" t="s">
        <v>138</v>
      </c>
      <c r="I29" s="4" t="n">
        <v>742.439265</v>
      </c>
      <c r="J29" s="5"/>
      <c r="K29" s="2" t="str">
        <f aca="false">IF(OR(J29="",I29=""),"",IF(ABS(J29-I29)&lt;=MAX(0.0001,ABS(I29)*0.0001),"MATCH","CHECK"))</f>
        <v/>
      </c>
      <c r="L29" s="2"/>
      <c r="M29" s="2"/>
    </row>
    <row r="30" customFormat="false" ht="23.85" hidden="false" customHeight="false" outlineLevel="0" collapsed="false">
      <c r="A30" s="2" t="s">
        <v>139</v>
      </c>
      <c r="B30" s="2" t="n">
        <v>3</v>
      </c>
      <c r="C30" s="2" t="s">
        <v>108</v>
      </c>
      <c r="D30" s="2" t="s">
        <v>140</v>
      </c>
      <c r="E30" s="3" t="s">
        <v>141</v>
      </c>
      <c r="F30" s="3" t="s">
        <v>142</v>
      </c>
      <c r="G30" s="3" t="s">
        <v>15</v>
      </c>
      <c r="H30" s="2" t="s">
        <v>138</v>
      </c>
      <c r="I30" s="4"/>
      <c r="J30" s="5"/>
      <c r="K30" s="2"/>
      <c r="L30" s="2"/>
      <c r="M30" s="2"/>
    </row>
    <row r="31" customFormat="false" ht="23.85" hidden="false" customHeight="false" outlineLevel="0" collapsed="false">
      <c r="A31" s="2" t="s">
        <v>143</v>
      </c>
      <c r="B31" s="2" t="n">
        <v>3</v>
      </c>
      <c r="C31" s="2" t="s">
        <v>108</v>
      </c>
      <c r="D31" s="2" t="s">
        <v>144</v>
      </c>
      <c r="E31" s="3" t="s">
        <v>145</v>
      </c>
      <c r="F31" s="3" t="s">
        <v>146</v>
      </c>
      <c r="G31" s="3" t="s">
        <v>15</v>
      </c>
      <c r="H31" s="2" t="s">
        <v>28</v>
      </c>
      <c r="I31" s="4" t="n">
        <v>0.239732</v>
      </c>
      <c r="J31" s="5"/>
      <c r="K31" s="2" t="str">
        <f aca="false">IF(OR(J31="",I31=""),"",IF(ABS(J31-I31)&lt;=MAX(0.0001,ABS(I31)*0.0001),"MATCH","CHECK"))</f>
        <v/>
      </c>
      <c r="L31" s="2"/>
      <c r="M31" s="2"/>
    </row>
    <row r="32" customFormat="false" ht="15" hidden="false" customHeight="false" outlineLevel="0" collapsed="false">
      <c r="A32" s="2" t="s">
        <v>147</v>
      </c>
      <c r="B32" s="2" t="n">
        <v>3</v>
      </c>
      <c r="C32" s="2" t="s">
        <v>14</v>
      </c>
      <c r="D32" s="2" t="s">
        <v>148</v>
      </c>
      <c r="E32" s="3" t="s">
        <v>149</v>
      </c>
      <c r="F32" s="3" t="s">
        <v>150</v>
      </c>
      <c r="G32" s="3" t="s">
        <v>151</v>
      </c>
      <c r="H32" s="2" t="s">
        <v>18</v>
      </c>
      <c r="I32" s="4"/>
      <c r="J32" s="5"/>
      <c r="K32" s="2"/>
      <c r="L32" s="2"/>
      <c r="M32" s="2"/>
    </row>
    <row r="33" customFormat="false" ht="15" hidden="false" customHeight="false" outlineLevel="0" collapsed="false">
      <c r="A33" s="2" t="s">
        <v>152</v>
      </c>
      <c r="B33" s="2" t="n">
        <v>3</v>
      </c>
      <c r="C33" s="2" t="s">
        <v>14</v>
      </c>
      <c r="D33" s="2" t="s">
        <v>153</v>
      </c>
      <c r="E33" s="3" t="s">
        <v>154</v>
      </c>
      <c r="F33" s="3" t="s">
        <v>155</v>
      </c>
      <c r="G33" s="3"/>
      <c r="H33" s="2" t="s">
        <v>18</v>
      </c>
      <c r="I33" s="4"/>
      <c r="J33" s="5"/>
      <c r="K33" s="2"/>
      <c r="L33" s="2"/>
      <c r="M33" s="2"/>
    </row>
    <row r="34" customFormat="false" ht="23.85" hidden="false" customHeight="false" outlineLevel="0" collapsed="false">
      <c r="A34" s="2" t="s">
        <v>156</v>
      </c>
      <c r="B34" s="2" t="n">
        <v>3</v>
      </c>
      <c r="C34" s="2" t="s">
        <v>14</v>
      </c>
      <c r="D34" s="2" t="s">
        <v>157</v>
      </c>
      <c r="E34" s="3" t="s">
        <v>158</v>
      </c>
      <c r="F34" s="3" t="s">
        <v>159</v>
      </c>
      <c r="G34" s="3" t="s">
        <v>15</v>
      </c>
      <c r="H34" s="2" t="s">
        <v>28</v>
      </c>
      <c r="I34" s="4"/>
      <c r="J34" s="5"/>
      <c r="K34" s="2"/>
      <c r="L34" s="2"/>
      <c r="M34" s="2"/>
    </row>
    <row r="35" customFormat="false" ht="23.85" hidden="false" customHeight="false" outlineLevel="0" collapsed="false">
      <c r="A35" s="2" t="s">
        <v>160</v>
      </c>
      <c r="B35" s="2" t="n">
        <v>3</v>
      </c>
      <c r="C35" s="2" t="s">
        <v>14</v>
      </c>
      <c r="D35" s="2" t="s">
        <v>161</v>
      </c>
      <c r="E35" s="3" t="s">
        <v>162</v>
      </c>
      <c r="F35" s="3" t="s">
        <v>163</v>
      </c>
      <c r="G35" s="3" t="s">
        <v>15</v>
      </c>
      <c r="H35" s="2" t="s">
        <v>28</v>
      </c>
      <c r="I35" s="4"/>
      <c r="J35" s="5"/>
      <c r="K35" s="2"/>
      <c r="L35" s="2"/>
      <c r="M35" s="2"/>
    </row>
    <row r="36" customFormat="false" ht="23.85" hidden="false" customHeight="false" outlineLevel="0" collapsed="false">
      <c r="A36" s="2" t="s">
        <v>164</v>
      </c>
      <c r="B36" s="2" t="n">
        <v>3</v>
      </c>
      <c r="C36" s="2" t="s">
        <v>14</v>
      </c>
      <c r="D36" s="2" t="s">
        <v>165</v>
      </c>
      <c r="E36" s="3" t="s">
        <v>166</v>
      </c>
      <c r="F36" s="3" t="s">
        <v>167</v>
      </c>
      <c r="G36" s="3" t="s">
        <v>35</v>
      </c>
      <c r="H36" s="2" t="s">
        <v>28</v>
      </c>
      <c r="I36" s="4"/>
      <c r="J36" s="5"/>
      <c r="K36" s="2"/>
      <c r="L36" s="2"/>
      <c r="M36" s="2"/>
    </row>
    <row r="37" customFormat="false" ht="15" hidden="false" customHeight="false" outlineLevel="0" collapsed="false">
      <c r="A37" s="2" t="s">
        <v>168</v>
      </c>
      <c r="B37" s="2" t="n">
        <v>3</v>
      </c>
      <c r="C37" s="2" t="s">
        <v>169</v>
      </c>
      <c r="D37" s="2" t="s">
        <v>170</v>
      </c>
      <c r="E37" s="3" t="s">
        <v>171</v>
      </c>
      <c r="F37" s="3" t="s">
        <v>172</v>
      </c>
      <c r="G37" s="3"/>
      <c r="H37" s="2" t="s">
        <v>18</v>
      </c>
      <c r="I37" s="4"/>
      <c r="J37" s="5"/>
      <c r="K37" s="2"/>
      <c r="L37" s="2"/>
      <c r="M37" s="2"/>
    </row>
    <row r="38" customFormat="false" ht="15" hidden="false" customHeight="false" outlineLevel="0" collapsed="false">
      <c r="A38" s="2" t="s">
        <v>173</v>
      </c>
      <c r="B38" s="2" t="n">
        <v>3</v>
      </c>
      <c r="C38" s="2" t="s">
        <v>169</v>
      </c>
      <c r="D38" s="2" t="s">
        <v>174</v>
      </c>
      <c r="E38" s="3" t="s">
        <v>175</v>
      </c>
      <c r="F38" s="3" t="s">
        <v>176</v>
      </c>
      <c r="G38" s="3"/>
      <c r="H38" s="2" t="s">
        <v>18</v>
      </c>
      <c r="I38" s="4"/>
      <c r="J38" s="5"/>
      <c r="K38" s="2"/>
      <c r="L38" s="2"/>
      <c r="M38" s="2"/>
    </row>
    <row r="39" customFormat="false" ht="15" hidden="false" customHeight="false" outlineLevel="0" collapsed="false">
      <c r="A39" s="2" t="s">
        <v>177</v>
      </c>
      <c r="B39" s="2" t="n">
        <v>3</v>
      </c>
      <c r="C39" s="2" t="s">
        <v>169</v>
      </c>
      <c r="D39" s="2" t="s">
        <v>178</v>
      </c>
      <c r="E39" s="3" t="s">
        <v>179</v>
      </c>
      <c r="F39" s="3" t="s">
        <v>180</v>
      </c>
      <c r="G39" s="3"/>
      <c r="H39" s="2" t="s">
        <v>18</v>
      </c>
      <c r="I39" s="4"/>
      <c r="J39" s="5"/>
      <c r="K39" s="2"/>
      <c r="L39" s="2"/>
      <c r="M39" s="2"/>
    </row>
    <row r="40" customFormat="false" ht="15" hidden="false" customHeight="false" outlineLevel="0" collapsed="false">
      <c r="A40" s="2" t="s">
        <v>181</v>
      </c>
      <c r="B40" s="2" t="n">
        <v>3</v>
      </c>
      <c r="C40" s="2" t="s">
        <v>169</v>
      </c>
      <c r="D40" s="2" t="s">
        <v>182</v>
      </c>
      <c r="E40" s="3" t="s">
        <v>183</v>
      </c>
      <c r="F40" s="3" t="s">
        <v>184</v>
      </c>
      <c r="G40" s="3"/>
      <c r="H40" s="2" t="s">
        <v>18</v>
      </c>
      <c r="I40" s="4"/>
      <c r="J40" s="5"/>
      <c r="K40" s="2"/>
      <c r="L40" s="2"/>
      <c r="M40" s="2"/>
    </row>
    <row r="41" customFormat="false" ht="23.85" hidden="false" customHeight="false" outlineLevel="0" collapsed="false">
      <c r="A41" s="2" t="s">
        <v>185</v>
      </c>
      <c r="B41" s="2" t="n">
        <v>3</v>
      </c>
      <c r="C41" s="2" t="s">
        <v>186</v>
      </c>
      <c r="D41" s="2" t="s">
        <v>187</v>
      </c>
      <c r="E41" s="3" t="s">
        <v>188</v>
      </c>
      <c r="F41" s="3" t="s">
        <v>189</v>
      </c>
      <c r="G41" s="3"/>
      <c r="H41" s="2" t="s">
        <v>28</v>
      </c>
      <c r="I41" s="4"/>
      <c r="J41" s="5"/>
      <c r="K41" s="2"/>
      <c r="L41" s="2"/>
      <c r="M41" s="2"/>
    </row>
    <row r="42" customFormat="false" ht="23.85" hidden="false" customHeight="false" outlineLevel="0" collapsed="false">
      <c r="A42" s="2" t="s">
        <v>190</v>
      </c>
      <c r="B42" s="2" t="n">
        <v>4</v>
      </c>
      <c r="C42" s="2" t="s">
        <v>191</v>
      </c>
      <c r="D42" s="2" t="s">
        <v>192</v>
      </c>
      <c r="E42" s="3" t="s">
        <v>193</v>
      </c>
      <c r="F42" s="3" t="s">
        <v>194</v>
      </c>
      <c r="G42" s="3"/>
      <c r="H42" s="2" t="s">
        <v>18</v>
      </c>
      <c r="I42" s="4"/>
      <c r="J42" s="5"/>
      <c r="K42" s="2"/>
      <c r="L42" s="2"/>
      <c r="M42" s="2"/>
    </row>
    <row r="43" customFormat="false" ht="23.85" hidden="false" customHeight="false" outlineLevel="0" collapsed="false">
      <c r="A43" s="2" t="s">
        <v>195</v>
      </c>
      <c r="B43" s="2" t="n">
        <v>4</v>
      </c>
      <c r="C43" s="2" t="s">
        <v>191</v>
      </c>
      <c r="D43" s="2" t="s">
        <v>196</v>
      </c>
      <c r="E43" s="3" t="s">
        <v>197</v>
      </c>
      <c r="F43" s="3" t="s">
        <v>198</v>
      </c>
      <c r="G43" s="3"/>
      <c r="H43" s="2" t="s">
        <v>18</v>
      </c>
      <c r="I43" s="4"/>
      <c r="J43" s="5"/>
      <c r="K43" s="2"/>
      <c r="L43" s="2"/>
      <c r="M43" s="2"/>
    </row>
    <row r="44" customFormat="false" ht="23.85" hidden="false" customHeight="false" outlineLevel="0" collapsed="false">
      <c r="A44" s="2" t="s">
        <v>199</v>
      </c>
      <c r="B44" s="2" t="n">
        <v>4</v>
      </c>
      <c r="C44" s="2" t="s">
        <v>191</v>
      </c>
      <c r="D44" s="2" t="s">
        <v>200</v>
      </c>
      <c r="E44" s="3" t="s">
        <v>201</v>
      </c>
      <c r="F44" s="3" t="s">
        <v>202</v>
      </c>
      <c r="G44" s="3"/>
      <c r="H44" s="2" t="s">
        <v>18</v>
      </c>
      <c r="I44" s="4"/>
      <c r="J44" s="5"/>
      <c r="K44" s="2"/>
      <c r="L44" s="2"/>
      <c r="M44" s="2"/>
    </row>
    <row r="45" customFormat="false" ht="23.85" hidden="false" customHeight="false" outlineLevel="0" collapsed="false">
      <c r="A45" s="2" t="s">
        <v>203</v>
      </c>
      <c r="B45" s="2" t="n">
        <v>4</v>
      </c>
      <c r="C45" s="2" t="s">
        <v>191</v>
      </c>
      <c r="D45" s="2" t="s">
        <v>204</v>
      </c>
      <c r="E45" s="3" t="s">
        <v>205</v>
      </c>
      <c r="F45" s="3" t="s">
        <v>206</v>
      </c>
      <c r="G45" s="3"/>
      <c r="H45" s="2" t="s">
        <v>18</v>
      </c>
      <c r="I45" s="4"/>
      <c r="J45" s="5"/>
      <c r="K45" s="2"/>
      <c r="L45" s="2"/>
      <c r="M45" s="2"/>
    </row>
    <row r="46" customFormat="false" ht="23.85" hidden="false" customHeight="false" outlineLevel="0" collapsed="false">
      <c r="A46" s="2" t="s">
        <v>207</v>
      </c>
      <c r="B46" s="2" t="n">
        <v>4</v>
      </c>
      <c r="C46" s="2" t="s">
        <v>191</v>
      </c>
      <c r="D46" s="2" t="s">
        <v>208</v>
      </c>
      <c r="E46" s="3" t="s">
        <v>209</v>
      </c>
      <c r="F46" s="3" t="s">
        <v>210</v>
      </c>
      <c r="G46" s="3"/>
      <c r="H46" s="2" t="s">
        <v>18</v>
      </c>
      <c r="I46" s="4"/>
      <c r="J46" s="5"/>
      <c r="K46" s="2"/>
      <c r="L46" s="2"/>
      <c r="M46" s="2"/>
    </row>
    <row r="47" customFormat="false" ht="23.85" hidden="false" customHeight="false" outlineLevel="0" collapsed="false">
      <c r="A47" s="2" t="s">
        <v>211</v>
      </c>
      <c r="B47" s="2" t="n">
        <v>4</v>
      </c>
      <c r="C47" s="2" t="s">
        <v>191</v>
      </c>
      <c r="D47" s="2" t="s">
        <v>212</v>
      </c>
      <c r="E47" s="3" t="s">
        <v>213</v>
      </c>
      <c r="F47" s="3" t="s">
        <v>214</v>
      </c>
      <c r="G47" s="3" t="s">
        <v>215</v>
      </c>
      <c r="H47" s="2" t="s">
        <v>216</v>
      </c>
      <c r="I47" s="4"/>
      <c r="J47" s="5"/>
      <c r="K47" s="2"/>
      <c r="L47" s="2"/>
      <c r="M47" s="2"/>
    </row>
    <row r="48" customFormat="false" ht="23.85" hidden="false" customHeight="false" outlineLevel="0" collapsed="false">
      <c r="A48" s="2" t="s">
        <v>217</v>
      </c>
      <c r="B48" s="2" t="n">
        <v>4</v>
      </c>
      <c r="C48" s="2" t="s">
        <v>191</v>
      </c>
      <c r="D48" s="2" t="s">
        <v>218</v>
      </c>
      <c r="E48" s="3" t="s">
        <v>219</v>
      </c>
      <c r="F48" s="3" t="s">
        <v>220</v>
      </c>
      <c r="G48" s="3" t="s">
        <v>221</v>
      </c>
      <c r="H48" s="2" t="s">
        <v>216</v>
      </c>
      <c r="I48" s="4"/>
      <c r="J48" s="5"/>
      <c r="K48" s="2"/>
      <c r="L48" s="2"/>
      <c r="M48" s="2"/>
    </row>
    <row r="49" customFormat="false" ht="15" hidden="false" customHeight="false" outlineLevel="0" collapsed="false">
      <c r="A49" s="2" t="s">
        <v>222</v>
      </c>
      <c r="B49" s="2" t="n">
        <v>4</v>
      </c>
      <c r="C49" s="2" t="s">
        <v>223</v>
      </c>
      <c r="D49" s="2" t="s">
        <v>224</v>
      </c>
      <c r="E49" s="3" t="s">
        <v>225</v>
      </c>
      <c r="F49" s="3" t="s">
        <v>226</v>
      </c>
      <c r="G49" s="3" t="s">
        <v>192</v>
      </c>
      <c r="H49" s="2" t="s">
        <v>18</v>
      </c>
      <c r="I49" s="4"/>
      <c r="J49" s="5"/>
      <c r="K49" s="2"/>
      <c r="L49" s="2"/>
      <c r="M49" s="2"/>
    </row>
    <row r="50" customFormat="false" ht="15" hidden="false" customHeight="false" outlineLevel="0" collapsed="false">
      <c r="A50" s="2" t="s">
        <v>227</v>
      </c>
      <c r="B50" s="2" t="n">
        <v>4</v>
      </c>
      <c r="C50" s="2" t="s">
        <v>223</v>
      </c>
      <c r="D50" s="2" t="s">
        <v>228</v>
      </c>
      <c r="E50" s="3" t="s">
        <v>229</v>
      </c>
      <c r="F50" s="3" t="s">
        <v>230</v>
      </c>
      <c r="G50" s="3" t="s">
        <v>192</v>
      </c>
      <c r="H50" s="2" t="s">
        <v>18</v>
      </c>
      <c r="I50" s="4"/>
      <c r="J50" s="5"/>
      <c r="K50" s="2"/>
      <c r="L50" s="2"/>
      <c r="M50" s="2"/>
    </row>
    <row r="51" customFormat="false" ht="15" hidden="false" customHeight="false" outlineLevel="0" collapsed="false">
      <c r="A51" s="2" t="s">
        <v>231</v>
      </c>
      <c r="B51" s="2" t="n">
        <v>4</v>
      </c>
      <c r="C51" s="2" t="s">
        <v>223</v>
      </c>
      <c r="D51" s="2" t="s">
        <v>232</v>
      </c>
      <c r="E51" s="3" t="s">
        <v>233</v>
      </c>
      <c r="F51" s="3" t="s">
        <v>234</v>
      </c>
      <c r="G51" s="3" t="s">
        <v>192</v>
      </c>
      <c r="H51" s="2" t="s">
        <v>18</v>
      </c>
      <c r="I51" s="4"/>
      <c r="J51" s="5"/>
      <c r="K51" s="2"/>
      <c r="L51" s="2"/>
      <c r="M51" s="2"/>
    </row>
    <row r="52" customFormat="false" ht="46.25" hidden="false" customHeight="false" outlineLevel="0" collapsed="false">
      <c r="A52" s="2" t="s">
        <v>235</v>
      </c>
      <c r="B52" s="2" t="n">
        <v>4</v>
      </c>
      <c r="C52" s="2" t="s">
        <v>223</v>
      </c>
      <c r="D52" s="2" t="s">
        <v>236</v>
      </c>
      <c r="E52" s="3" t="s">
        <v>237</v>
      </c>
      <c r="F52" s="3" t="s">
        <v>238</v>
      </c>
      <c r="G52" s="3" t="s">
        <v>192</v>
      </c>
      <c r="H52" s="2" t="s">
        <v>18</v>
      </c>
      <c r="I52" s="4"/>
      <c r="J52" s="5"/>
      <c r="K52" s="2"/>
      <c r="L52" s="2"/>
      <c r="M52" s="2"/>
    </row>
    <row r="53" customFormat="false" ht="15" hidden="false" customHeight="false" outlineLevel="0" collapsed="false">
      <c r="A53" s="2" t="s">
        <v>239</v>
      </c>
      <c r="B53" s="2" t="n">
        <v>4</v>
      </c>
      <c r="C53" s="2" t="s">
        <v>240</v>
      </c>
      <c r="D53" s="2" t="s">
        <v>241</v>
      </c>
      <c r="E53" s="3" t="s">
        <v>242</v>
      </c>
      <c r="F53" s="3" t="s">
        <v>243</v>
      </c>
      <c r="G53" s="3" t="s">
        <v>192</v>
      </c>
      <c r="H53" s="2" t="s">
        <v>18</v>
      </c>
      <c r="I53" s="4"/>
      <c r="J53" s="5"/>
      <c r="K53" s="2"/>
      <c r="L53" s="2"/>
      <c r="M53" s="2"/>
    </row>
    <row r="54" customFormat="false" ht="15" hidden="false" customHeight="false" outlineLevel="0" collapsed="false">
      <c r="A54" s="2" t="s">
        <v>244</v>
      </c>
      <c r="B54" s="2" t="n">
        <v>4</v>
      </c>
      <c r="C54" s="2" t="s">
        <v>240</v>
      </c>
      <c r="D54" s="2" t="s">
        <v>245</v>
      </c>
      <c r="E54" s="3" t="s">
        <v>246</v>
      </c>
      <c r="F54" s="3" t="s">
        <v>247</v>
      </c>
      <c r="G54" s="3" t="s">
        <v>248</v>
      </c>
      <c r="H54" s="2" t="s">
        <v>28</v>
      </c>
      <c r="I54" s="4"/>
      <c r="J54" s="5"/>
      <c r="K54" s="2"/>
      <c r="L54" s="2"/>
      <c r="M54" s="2"/>
    </row>
    <row r="55" customFormat="false" ht="15" hidden="false" customHeight="false" outlineLevel="0" collapsed="false">
      <c r="A55" s="2" t="s">
        <v>249</v>
      </c>
      <c r="B55" s="2" t="n">
        <v>4</v>
      </c>
      <c r="C55" s="2" t="s">
        <v>240</v>
      </c>
      <c r="D55" s="2" t="s">
        <v>250</v>
      </c>
      <c r="E55" s="3" t="s">
        <v>251</v>
      </c>
      <c r="F55" s="3" t="s">
        <v>252</v>
      </c>
      <c r="G55" s="3" t="s">
        <v>212</v>
      </c>
      <c r="H55" s="2" t="s">
        <v>216</v>
      </c>
      <c r="I55" s="4"/>
      <c r="J55" s="5"/>
      <c r="K55" s="2"/>
      <c r="L55" s="2"/>
      <c r="M55" s="2"/>
    </row>
    <row r="56" customFormat="false" ht="23.85" hidden="false" customHeight="false" outlineLevel="0" collapsed="false">
      <c r="A56" s="2" t="s">
        <v>253</v>
      </c>
      <c r="B56" s="2" t="n">
        <v>4</v>
      </c>
      <c r="C56" s="2" t="s">
        <v>240</v>
      </c>
      <c r="D56" s="2" t="s">
        <v>254</v>
      </c>
      <c r="E56" s="3" t="s">
        <v>255</v>
      </c>
      <c r="F56" s="3" t="s">
        <v>256</v>
      </c>
      <c r="G56" s="3" t="s">
        <v>257</v>
      </c>
      <c r="H56" s="2" t="s">
        <v>216</v>
      </c>
      <c r="I56" s="4"/>
      <c r="J56" s="5"/>
      <c r="K56" s="2"/>
      <c r="L56" s="2"/>
      <c r="M56" s="2"/>
    </row>
    <row r="57" customFormat="false" ht="15" hidden="false" customHeight="false" outlineLevel="0" collapsed="false">
      <c r="A57" s="2" t="s">
        <v>258</v>
      </c>
      <c r="B57" s="2" t="n">
        <v>4</v>
      </c>
      <c r="C57" s="2" t="s">
        <v>240</v>
      </c>
      <c r="D57" s="2" t="s">
        <v>259</v>
      </c>
      <c r="E57" s="3" t="s">
        <v>260</v>
      </c>
      <c r="F57" s="3" t="s">
        <v>261</v>
      </c>
      <c r="G57" s="3" t="s">
        <v>212</v>
      </c>
      <c r="H57" s="2" t="s">
        <v>216</v>
      </c>
      <c r="I57" s="4"/>
      <c r="J57" s="5"/>
      <c r="K57" s="2"/>
      <c r="L57" s="2"/>
      <c r="M57" s="2"/>
    </row>
    <row r="58" customFormat="false" ht="46.25" hidden="false" customHeight="false" outlineLevel="0" collapsed="false">
      <c r="A58" s="2" t="s">
        <v>262</v>
      </c>
      <c r="B58" s="2" t="n">
        <v>4</v>
      </c>
      <c r="C58" s="2" t="s">
        <v>263</v>
      </c>
      <c r="D58" s="2" t="s">
        <v>264</v>
      </c>
      <c r="E58" s="3" t="s">
        <v>265</v>
      </c>
      <c r="F58" s="3" t="s">
        <v>266</v>
      </c>
      <c r="G58" s="3" t="s">
        <v>215</v>
      </c>
      <c r="H58" s="2" t="s">
        <v>216</v>
      </c>
      <c r="I58" s="4"/>
      <c r="J58" s="5"/>
      <c r="K58" s="2"/>
      <c r="L58" s="2"/>
      <c r="M58" s="2"/>
    </row>
    <row r="59" customFormat="false" ht="46.25" hidden="false" customHeight="false" outlineLevel="0" collapsed="false">
      <c r="A59" s="2" t="s">
        <v>267</v>
      </c>
      <c r="B59" s="2" t="n">
        <v>4</v>
      </c>
      <c r="C59" s="2" t="s">
        <v>263</v>
      </c>
      <c r="D59" s="2" t="s">
        <v>268</v>
      </c>
      <c r="E59" s="3" t="s">
        <v>269</v>
      </c>
      <c r="F59" s="3" t="s">
        <v>270</v>
      </c>
      <c r="G59" s="3" t="s">
        <v>215</v>
      </c>
      <c r="H59" s="2" t="s">
        <v>216</v>
      </c>
      <c r="I59" s="4"/>
      <c r="J59" s="5"/>
      <c r="K59" s="2"/>
      <c r="L59" s="2"/>
      <c r="M59" s="2"/>
    </row>
    <row r="60" customFormat="false" ht="46.25" hidden="false" customHeight="false" outlineLevel="0" collapsed="false">
      <c r="A60" s="2" t="s">
        <v>271</v>
      </c>
      <c r="B60" s="2" t="n">
        <v>4</v>
      </c>
      <c r="C60" s="2" t="s">
        <v>263</v>
      </c>
      <c r="D60" s="2" t="s">
        <v>272</v>
      </c>
      <c r="E60" s="3" t="s">
        <v>273</v>
      </c>
      <c r="F60" s="3" t="s">
        <v>274</v>
      </c>
      <c r="G60" s="3" t="s">
        <v>221</v>
      </c>
      <c r="H60" s="2" t="s">
        <v>216</v>
      </c>
      <c r="I60" s="4"/>
      <c r="J60" s="5"/>
      <c r="K60" s="2"/>
      <c r="L60" s="2"/>
      <c r="M60" s="2"/>
    </row>
    <row r="61" customFormat="false" ht="57.45" hidden="false" customHeight="false" outlineLevel="0" collapsed="false">
      <c r="A61" s="2" t="s">
        <v>275</v>
      </c>
      <c r="B61" s="2" t="n">
        <v>4</v>
      </c>
      <c r="C61" s="2" t="s">
        <v>276</v>
      </c>
      <c r="D61" s="2" t="s">
        <v>277</v>
      </c>
      <c r="E61" s="3" t="s">
        <v>278</v>
      </c>
      <c r="F61" s="3" t="s">
        <v>279</v>
      </c>
      <c r="G61" s="3" t="s">
        <v>212</v>
      </c>
      <c r="H61" s="2" t="s">
        <v>216</v>
      </c>
      <c r="I61" s="4"/>
      <c r="J61" s="5"/>
      <c r="K61" s="2"/>
      <c r="L61" s="2"/>
      <c r="M61" s="2"/>
    </row>
    <row r="62" customFormat="false" ht="57.45" hidden="false" customHeight="false" outlineLevel="0" collapsed="false">
      <c r="A62" s="2" t="s">
        <v>280</v>
      </c>
      <c r="B62" s="2" t="n">
        <v>4</v>
      </c>
      <c r="C62" s="2" t="s">
        <v>276</v>
      </c>
      <c r="D62" s="2" t="s">
        <v>281</v>
      </c>
      <c r="E62" s="3" t="s">
        <v>282</v>
      </c>
      <c r="F62" s="3" t="s">
        <v>283</v>
      </c>
      <c r="G62" s="3" t="s">
        <v>212</v>
      </c>
      <c r="H62" s="2" t="s">
        <v>216</v>
      </c>
      <c r="I62" s="4"/>
      <c r="J62" s="5"/>
      <c r="K62" s="2"/>
      <c r="L62" s="2"/>
      <c r="M62" s="2"/>
    </row>
    <row r="63" customFormat="false" ht="23.85" hidden="false" customHeight="false" outlineLevel="0" collapsed="false">
      <c r="A63" s="2" t="s">
        <v>284</v>
      </c>
      <c r="B63" s="2" t="n">
        <v>4</v>
      </c>
      <c r="C63" s="2" t="s">
        <v>276</v>
      </c>
      <c r="D63" s="2" t="s">
        <v>285</v>
      </c>
      <c r="E63" s="3" t="s">
        <v>286</v>
      </c>
      <c r="F63" s="3" t="s">
        <v>287</v>
      </c>
      <c r="G63" s="3" t="s">
        <v>288</v>
      </c>
      <c r="H63" s="2" t="s">
        <v>289</v>
      </c>
      <c r="I63" s="4"/>
      <c r="J63" s="5"/>
      <c r="K63" s="2"/>
      <c r="L63" s="2"/>
      <c r="M63" s="2"/>
    </row>
    <row r="64" customFormat="false" ht="23.85" hidden="false" customHeight="false" outlineLevel="0" collapsed="false">
      <c r="A64" s="2" t="s">
        <v>290</v>
      </c>
      <c r="B64" s="2" t="n">
        <v>4</v>
      </c>
      <c r="C64" s="2" t="s">
        <v>276</v>
      </c>
      <c r="D64" s="2" t="s">
        <v>291</v>
      </c>
      <c r="E64" s="3" t="s">
        <v>292</v>
      </c>
      <c r="F64" s="3" t="s">
        <v>293</v>
      </c>
      <c r="G64" s="3" t="s">
        <v>285</v>
      </c>
      <c r="H64" s="2"/>
      <c r="I64" s="4"/>
      <c r="J64" s="5"/>
      <c r="K64" s="2"/>
      <c r="L64" s="2"/>
      <c r="M64" s="2"/>
    </row>
    <row r="65" customFormat="false" ht="79.85" hidden="false" customHeight="false" outlineLevel="0" collapsed="false">
      <c r="A65" s="2" t="s">
        <v>294</v>
      </c>
      <c r="B65" s="2" t="n">
        <v>4</v>
      </c>
      <c r="C65" s="2" t="s">
        <v>276</v>
      </c>
      <c r="D65" s="2" t="s">
        <v>295</v>
      </c>
      <c r="E65" s="3" t="s">
        <v>296</v>
      </c>
      <c r="F65" s="3" t="s">
        <v>297</v>
      </c>
      <c r="G65" s="3" t="s">
        <v>298</v>
      </c>
      <c r="H65" s="2" t="s">
        <v>289</v>
      </c>
      <c r="I65" s="4"/>
      <c r="J65" s="5"/>
      <c r="K65" s="2"/>
      <c r="L65" s="2"/>
      <c r="M65" s="2"/>
    </row>
    <row r="66" customFormat="false" ht="23.85" hidden="false" customHeight="false" outlineLevel="0" collapsed="false">
      <c r="A66" s="2" t="s">
        <v>299</v>
      </c>
      <c r="B66" s="2" t="n">
        <v>5</v>
      </c>
      <c r="C66" s="2" t="s">
        <v>300</v>
      </c>
      <c r="D66" s="2" t="s">
        <v>301</v>
      </c>
      <c r="E66" s="3" t="s">
        <v>302</v>
      </c>
      <c r="F66" s="3" t="s">
        <v>303</v>
      </c>
      <c r="G66" s="3" t="s">
        <v>15</v>
      </c>
      <c r="H66" s="2" t="s">
        <v>28</v>
      </c>
      <c r="I66" s="4"/>
      <c r="J66" s="5"/>
      <c r="K66" s="2"/>
      <c r="L66" s="2"/>
      <c r="M66" s="2"/>
    </row>
    <row r="67" customFormat="false" ht="23.85" hidden="false" customHeight="false" outlineLevel="0" collapsed="false">
      <c r="A67" s="2" t="s">
        <v>304</v>
      </c>
      <c r="B67" s="2" t="n">
        <v>5</v>
      </c>
      <c r="C67" s="2" t="s">
        <v>300</v>
      </c>
      <c r="D67" s="2" t="s">
        <v>305</v>
      </c>
      <c r="E67" s="3" t="s">
        <v>306</v>
      </c>
      <c r="F67" s="3" t="s">
        <v>307</v>
      </c>
      <c r="G67" s="3" t="s">
        <v>15</v>
      </c>
      <c r="H67" s="2" t="s">
        <v>28</v>
      </c>
      <c r="I67" s="4"/>
      <c r="J67" s="5"/>
      <c r="K67" s="2"/>
      <c r="L67" s="2"/>
      <c r="M67" s="2"/>
    </row>
    <row r="68" customFormat="false" ht="23.85" hidden="false" customHeight="false" outlineLevel="0" collapsed="false">
      <c r="A68" s="2" t="s">
        <v>308</v>
      </c>
      <c r="B68" s="2" t="n">
        <v>5</v>
      </c>
      <c r="C68" s="2" t="s">
        <v>300</v>
      </c>
      <c r="D68" s="2" t="s">
        <v>309</v>
      </c>
      <c r="E68" s="3" t="s">
        <v>310</v>
      </c>
      <c r="F68" s="3" t="s">
        <v>311</v>
      </c>
      <c r="G68" s="3" t="s">
        <v>15</v>
      </c>
      <c r="H68" s="2" t="s">
        <v>28</v>
      </c>
      <c r="I68" s="4"/>
      <c r="J68" s="5"/>
      <c r="K68" s="2"/>
      <c r="L68" s="2"/>
      <c r="M68" s="2"/>
    </row>
    <row r="69" customFormat="false" ht="68.65" hidden="false" customHeight="false" outlineLevel="0" collapsed="false">
      <c r="A69" s="2" t="s">
        <v>312</v>
      </c>
      <c r="B69" s="2" t="n">
        <v>5</v>
      </c>
      <c r="C69" s="2" t="s">
        <v>313</v>
      </c>
      <c r="D69" s="2" t="s">
        <v>314</v>
      </c>
      <c r="E69" s="3" t="s">
        <v>315</v>
      </c>
      <c r="F69" s="3" t="s">
        <v>316</v>
      </c>
      <c r="G69" s="3" t="s">
        <v>15</v>
      </c>
      <c r="H69" s="2"/>
      <c r="I69" s="4"/>
      <c r="J69" s="5"/>
      <c r="K69" s="2"/>
      <c r="L69" s="2"/>
      <c r="M69" s="2"/>
    </row>
    <row r="70" customFormat="false" ht="23.85" hidden="false" customHeight="false" outlineLevel="0" collapsed="false">
      <c r="A70" s="2" t="s">
        <v>317</v>
      </c>
      <c r="B70" s="2" t="n">
        <v>5</v>
      </c>
      <c r="C70" s="2" t="s">
        <v>313</v>
      </c>
      <c r="D70" s="2" t="s">
        <v>318</v>
      </c>
      <c r="E70" s="3" t="s">
        <v>319</v>
      </c>
      <c r="F70" s="3" t="s">
        <v>320</v>
      </c>
      <c r="G70" s="3" t="s">
        <v>15</v>
      </c>
      <c r="H70" s="2" t="s">
        <v>28</v>
      </c>
      <c r="I70" s="4" t="n">
        <v>0.376958</v>
      </c>
      <c r="J70" s="5"/>
      <c r="K70" s="2" t="str">
        <f aca="false">IF(OR(J70="",I70=""),"",IF(ABS(J70-I70)&lt;=MAX(0.0001,ABS(I70)*0.0001),"MATCH","CHECK"))</f>
        <v/>
      </c>
      <c r="L70" s="2"/>
      <c r="M70" s="2"/>
    </row>
    <row r="71" customFormat="false" ht="23.85" hidden="false" customHeight="false" outlineLevel="0" collapsed="false">
      <c r="A71" s="2" t="s">
        <v>321</v>
      </c>
      <c r="B71" s="2" t="n">
        <v>5</v>
      </c>
      <c r="C71" s="2" t="s">
        <v>313</v>
      </c>
      <c r="D71" s="2" t="s">
        <v>322</v>
      </c>
      <c r="E71" s="3" t="s">
        <v>323</v>
      </c>
      <c r="F71" s="3" t="s">
        <v>324</v>
      </c>
      <c r="G71" s="3" t="s">
        <v>15</v>
      </c>
      <c r="H71" s="2" t="s">
        <v>28</v>
      </c>
      <c r="I71" s="4"/>
      <c r="J71" s="5"/>
      <c r="K71" s="2"/>
      <c r="L71" s="2"/>
      <c r="M71" s="2"/>
    </row>
    <row r="72" customFormat="false" ht="35.05" hidden="false" customHeight="false" outlineLevel="0" collapsed="false">
      <c r="A72" s="2" t="s">
        <v>325</v>
      </c>
      <c r="B72" s="2" t="n">
        <v>5</v>
      </c>
      <c r="C72" s="2" t="s">
        <v>313</v>
      </c>
      <c r="D72" s="2" t="s">
        <v>326</v>
      </c>
      <c r="E72" s="3" t="s">
        <v>327</v>
      </c>
      <c r="F72" s="3" t="s">
        <v>328</v>
      </c>
      <c r="G72" s="3" t="s">
        <v>15</v>
      </c>
      <c r="H72" s="2" t="s">
        <v>28</v>
      </c>
      <c r="I72" s="4"/>
      <c r="J72" s="5"/>
      <c r="K72" s="2"/>
      <c r="L72" s="2"/>
      <c r="M72" s="2"/>
    </row>
    <row r="73" customFormat="false" ht="35.05" hidden="false" customHeight="false" outlineLevel="0" collapsed="false">
      <c r="A73" s="2" t="s">
        <v>329</v>
      </c>
      <c r="B73" s="2" t="n">
        <v>5</v>
      </c>
      <c r="C73" s="2" t="s">
        <v>313</v>
      </c>
      <c r="D73" s="2" t="s">
        <v>330</v>
      </c>
      <c r="E73" s="3" t="s">
        <v>331</v>
      </c>
      <c r="F73" s="3" t="s">
        <v>332</v>
      </c>
      <c r="G73" s="3" t="s">
        <v>15</v>
      </c>
      <c r="H73" s="2" t="s">
        <v>333</v>
      </c>
      <c r="I73" s="4" t="n">
        <v>0.058122</v>
      </c>
      <c r="J73" s="5"/>
      <c r="K73" s="2" t="str">
        <f aca="false">IF(OR(J73="",I73=""),"",IF(ABS(J73-I73)&lt;=MAX(0.0001,ABS(I73)*0.0001),"MATCH","CHECK"))</f>
        <v/>
      </c>
      <c r="L73" s="2"/>
      <c r="M73" s="2"/>
    </row>
    <row r="74" customFormat="false" ht="35.05" hidden="false" customHeight="false" outlineLevel="0" collapsed="false">
      <c r="A74" s="2" t="s">
        <v>334</v>
      </c>
      <c r="B74" s="2" t="n">
        <v>5</v>
      </c>
      <c r="C74" s="2" t="s">
        <v>313</v>
      </c>
      <c r="D74" s="2" t="s">
        <v>335</v>
      </c>
      <c r="E74" s="3" t="s">
        <v>336</v>
      </c>
      <c r="F74" s="3" t="s">
        <v>337</v>
      </c>
      <c r="G74" s="3" t="s">
        <v>15</v>
      </c>
      <c r="H74" s="2" t="s">
        <v>333</v>
      </c>
      <c r="I74" s="4"/>
      <c r="J74" s="5"/>
      <c r="K74" s="2"/>
      <c r="L74" s="2"/>
      <c r="M74" s="2"/>
    </row>
    <row r="75" customFormat="false" ht="35.05" hidden="false" customHeight="false" outlineLevel="0" collapsed="false">
      <c r="A75" s="2" t="s">
        <v>338</v>
      </c>
      <c r="B75" s="2" t="n">
        <v>5</v>
      </c>
      <c r="C75" s="2" t="s">
        <v>313</v>
      </c>
      <c r="D75" s="2" t="s">
        <v>339</v>
      </c>
      <c r="E75" s="3" t="s">
        <v>340</v>
      </c>
      <c r="F75" s="3" t="s">
        <v>341</v>
      </c>
      <c r="G75" s="3" t="s">
        <v>15</v>
      </c>
      <c r="H75" s="2" t="s">
        <v>333</v>
      </c>
      <c r="I75" s="4"/>
      <c r="J75" s="5"/>
      <c r="K75" s="2"/>
      <c r="L75" s="2"/>
      <c r="M75" s="2"/>
    </row>
    <row r="76" customFormat="false" ht="35.05" hidden="false" customHeight="false" outlineLevel="0" collapsed="false">
      <c r="A76" s="2" t="s">
        <v>342</v>
      </c>
      <c r="B76" s="2" t="n">
        <v>5</v>
      </c>
      <c r="C76" s="2" t="s">
        <v>313</v>
      </c>
      <c r="D76" s="2" t="s">
        <v>343</v>
      </c>
      <c r="E76" s="3" t="s">
        <v>344</v>
      </c>
      <c r="F76" s="3" t="s">
        <v>345</v>
      </c>
      <c r="G76" s="3" t="s">
        <v>15</v>
      </c>
      <c r="H76" s="2" t="s">
        <v>333</v>
      </c>
      <c r="I76" s="4"/>
      <c r="J76" s="5"/>
      <c r="K76" s="2"/>
      <c r="L76" s="2"/>
      <c r="M76" s="2"/>
    </row>
    <row r="77" customFormat="false" ht="23.85" hidden="false" customHeight="false" outlineLevel="0" collapsed="false">
      <c r="A77" s="2" t="s">
        <v>346</v>
      </c>
      <c r="B77" s="2" t="n">
        <v>5</v>
      </c>
      <c r="C77" s="2" t="s">
        <v>347</v>
      </c>
      <c r="D77" s="2" t="s">
        <v>348</v>
      </c>
      <c r="E77" s="3" t="s">
        <v>349</v>
      </c>
      <c r="F77" s="3" t="s">
        <v>350</v>
      </c>
      <c r="G77" s="3" t="s">
        <v>15</v>
      </c>
      <c r="H77" s="2" t="s">
        <v>138</v>
      </c>
      <c r="I77" s="4"/>
      <c r="J77" s="5"/>
      <c r="K77" s="2"/>
      <c r="L77" s="2"/>
      <c r="M77" s="2"/>
    </row>
    <row r="78" customFormat="false" ht="15" hidden="false" customHeight="false" outlineLevel="0" collapsed="false">
      <c r="A78" s="2" t="s">
        <v>351</v>
      </c>
      <c r="B78" s="2" t="n">
        <v>5</v>
      </c>
      <c r="C78" s="2" t="s">
        <v>347</v>
      </c>
      <c r="D78" s="2" t="s">
        <v>352</v>
      </c>
      <c r="E78" s="3" t="s">
        <v>353</v>
      </c>
      <c r="F78" s="3" t="s">
        <v>354</v>
      </c>
      <c r="G78" s="3"/>
      <c r="H78" s="2" t="s">
        <v>138</v>
      </c>
      <c r="I78" s="4"/>
      <c r="J78" s="5"/>
      <c r="K78" s="2"/>
      <c r="L78" s="2"/>
      <c r="M78" s="2"/>
    </row>
    <row r="79" customFormat="false" ht="57.45" hidden="false" customHeight="false" outlineLevel="0" collapsed="false">
      <c r="A79" s="2" t="s">
        <v>355</v>
      </c>
      <c r="B79" s="2" t="n">
        <v>5</v>
      </c>
      <c r="C79" s="2" t="s">
        <v>356</v>
      </c>
      <c r="D79" s="2" t="s">
        <v>357</v>
      </c>
      <c r="E79" s="3" t="s">
        <v>358</v>
      </c>
      <c r="F79" s="3" t="s">
        <v>359</v>
      </c>
      <c r="G79" s="3"/>
      <c r="H79" s="2" t="s">
        <v>18</v>
      </c>
      <c r="I79" s="4"/>
      <c r="J79" s="5"/>
      <c r="K79" s="2"/>
      <c r="L79" s="2"/>
      <c r="M79" s="2"/>
    </row>
    <row r="80" customFormat="false" ht="23.85" hidden="false" customHeight="false" outlineLevel="0" collapsed="false">
      <c r="A80" s="2" t="s">
        <v>360</v>
      </c>
      <c r="B80" s="2" t="n">
        <v>6</v>
      </c>
      <c r="C80" s="2" t="s">
        <v>361</v>
      </c>
      <c r="D80" s="2" t="s">
        <v>362</v>
      </c>
      <c r="E80" s="3" t="s">
        <v>363</v>
      </c>
      <c r="F80" s="3" t="s">
        <v>364</v>
      </c>
      <c r="G80" s="3"/>
      <c r="H80" s="2" t="s">
        <v>18</v>
      </c>
      <c r="I80" s="4"/>
      <c r="J80" s="5"/>
      <c r="K80" s="2"/>
      <c r="L80" s="2"/>
      <c r="M80" s="2"/>
    </row>
    <row r="81" customFormat="false" ht="15" hidden="false" customHeight="false" outlineLevel="0" collapsed="false">
      <c r="A81" s="2" t="s">
        <v>365</v>
      </c>
      <c r="B81" s="2" t="n">
        <v>6</v>
      </c>
      <c r="C81" s="2" t="s">
        <v>361</v>
      </c>
      <c r="D81" s="2" t="s">
        <v>366</v>
      </c>
      <c r="E81" s="3" t="s">
        <v>367</v>
      </c>
      <c r="F81" s="3" t="s">
        <v>368</v>
      </c>
      <c r="G81" s="3"/>
      <c r="H81" s="2" t="s">
        <v>18</v>
      </c>
      <c r="I81" s="4"/>
      <c r="J81" s="5"/>
      <c r="K81" s="2"/>
      <c r="L81" s="2"/>
      <c r="M81" s="2"/>
    </row>
    <row r="82" customFormat="false" ht="15" hidden="false" customHeight="false" outlineLevel="0" collapsed="false">
      <c r="A82" s="2" t="s">
        <v>369</v>
      </c>
      <c r="B82" s="2" t="n">
        <v>6</v>
      </c>
      <c r="C82" s="2" t="s">
        <v>361</v>
      </c>
      <c r="D82" s="2" t="s">
        <v>370</v>
      </c>
      <c r="E82" s="3" t="s">
        <v>371</v>
      </c>
      <c r="F82" s="3" t="s">
        <v>372</v>
      </c>
      <c r="G82" s="3"/>
      <c r="H82" s="2" t="s">
        <v>18</v>
      </c>
      <c r="I82" s="4"/>
      <c r="J82" s="5"/>
      <c r="K82" s="2"/>
      <c r="L82" s="2"/>
      <c r="M82" s="2"/>
    </row>
    <row r="83" customFormat="false" ht="15" hidden="false" customHeight="false" outlineLevel="0" collapsed="false">
      <c r="A83" s="2" t="s">
        <v>373</v>
      </c>
      <c r="B83" s="2" t="n">
        <v>6</v>
      </c>
      <c r="C83" s="2" t="s">
        <v>361</v>
      </c>
      <c r="D83" s="2" t="s">
        <v>374</v>
      </c>
      <c r="E83" s="3" t="s">
        <v>375</v>
      </c>
      <c r="F83" s="3" t="s">
        <v>376</v>
      </c>
      <c r="G83" s="3"/>
      <c r="H83" s="2" t="s">
        <v>18</v>
      </c>
      <c r="I83" s="4"/>
      <c r="J83" s="5"/>
      <c r="K83" s="2"/>
      <c r="L83" s="2"/>
      <c r="M83" s="2"/>
    </row>
    <row r="84" customFormat="false" ht="15" hidden="false" customHeight="false" outlineLevel="0" collapsed="false">
      <c r="A84" s="2" t="s">
        <v>377</v>
      </c>
      <c r="B84" s="2" t="n">
        <v>6</v>
      </c>
      <c r="C84" s="2" t="s">
        <v>361</v>
      </c>
      <c r="D84" s="2" t="s">
        <v>378</v>
      </c>
      <c r="E84" s="3" t="s">
        <v>379</v>
      </c>
      <c r="F84" s="3" t="s">
        <v>380</v>
      </c>
      <c r="G84" s="3"/>
      <c r="H84" s="2" t="s">
        <v>18</v>
      </c>
      <c r="I84" s="4"/>
      <c r="J84" s="5"/>
      <c r="K84" s="2"/>
      <c r="L84" s="2"/>
      <c r="M84" s="2"/>
    </row>
    <row r="85" customFormat="false" ht="15" hidden="false" customHeight="false" outlineLevel="0" collapsed="false">
      <c r="A85" s="2" t="s">
        <v>381</v>
      </c>
      <c r="B85" s="2" t="n">
        <v>6</v>
      </c>
      <c r="C85" s="2" t="s">
        <v>361</v>
      </c>
      <c r="D85" s="2" t="s">
        <v>382</v>
      </c>
      <c r="E85" s="3" t="s">
        <v>383</v>
      </c>
      <c r="F85" s="3" t="s">
        <v>384</v>
      </c>
      <c r="G85" s="3"/>
      <c r="H85" s="2" t="s">
        <v>112</v>
      </c>
      <c r="I85" s="4"/>
      <c r="J85" s="5"/>
      <c r="K85" s="2"/>
      <c r="L85" s="2"/>
      <c r="M85" s="2"/>
    </row>
    <row r="86" customFormat="false" ht="35.05" hidden="false" customHeight="false" outlineLevel="0" collapsed="false">
      <c r="A86" s="2" t="s">
        <v>385</v>
      </c>
      <c r="B86" s="2" t="n">
        <v>6</v>
      </c>
      <c r="C86" s="2" t="s">
        <v>361</v>
      </c>
      <c r="D86" s="2" t="s">
        <v>386</v>
      </c>
      <c r="E86" s="3" t="s">
        <v>387</v>
      </c>
      <c r="F86" s="3" t="s">
        <v>388</v>
      </c>
      <c r="G86" s="3"/>
      <c r="H86" s="2" t="s">
        <v>112</v>
      </c>
      <c r="I86" s="4"/>
      <c r="J86" s="5"/>
      <c r="K86" s="2"/>
      <c r="L86" s="2"/>
      <c r="M86" s="2"/>
    </row>
    <row r="87" customFormat="false" ht="23.85" hidden="false" customHeight="false" outlineLevel="0" collapsed="false">
      <c r="A87" s="2" t="s">
        <v>389</v>
      </c>
      <c r="B87" s="2" t="n">
        <v>6</v>
      </c>
      <c r="C87" s="2" t="s">
        <v>361</v>
      </c>
      <c r="D87" s="2" t="s">
        <v>390</v>
      </c>
      <c r="E87" s="3" t="s">
        <v>391</v>
      </c>
      <c r="F87" s="3" t="s">
        <v>392</v>
      </c>
      <c r="G87" s="3"/>
      <c r="H87" s="2" t="s">
        <v>393</v>
      </c>
      <c r="I87" s="4"/>
      <c r="J87" s="5"/>
      <c r="K87" s="2"/>
      <c r="L87" s="2"/>
      <c r="M87" s="2"/>
    </row>
    <row r="88" customFormat="false" ht="35.05" hidden="false" customHeight="false" outlineLevel="0" collapsed="false">
      <c r="A88" s="2" t="s">
        <v>394</v>
      </c>
      <c r="B88" s="2" t="n">
        <v>6</v>
      </c>
      <c r="C88" s="2" t="s">
        <v>395</v>
      </c>
      <c r="D88" s="2" t="s">
        <v>396</v>
      </c>
      <c r="E88" s="3" t="s">
        <v>397</v>
      </c>
      <c r="F88" s="3" t="s">
        <v>398</v>
      </c>
      <c r="G88" s="3"/>
      <c r="H88" s="2" t="s">
        <v>18</v>
      </c>
      <c r="I88" s="4"/>
      <c r="J88" s="5"/>
      <c r="K88" s="2"/>
      <c r="L88" s="2"/>
      <c r="M88" s="2"/>
    </row>
    <row r="89" customFormat="false" ht="35.05" hidden="false" customHeight="false" outlineLevel="0" collapsed="false">
      <c r="A89" s="2" t="s">
        <v>399</v>
      </c>
      <c r="B89" s="2" t="n">
        <v>6</v>
      </c>
      <c r="C89" s="2" t="s">
        <v>395</v>
      </c>
      <c r="D89" s="2" t="s">
        <v>400</v>
      </c>
      <c r="E89" s="3" t="s">
        <v>401</v>
      </c>
      <c r="F89" s="3" t="s">
        <v>402</v>
      </c>
      <c r="G89" s="3"/>
      <c r="H89" s="2" t="s">
        <v>18</v>
      </c>
      <c r="I89" s="4"/>
      <c r="J89" s="5"/>
      <c r="K89" s="2"/>
      <c r="L89" s="2"/>
      <c r="M89" s="2"/>
    </row>
    <row r="90" customFormat="false" ht="15" hidden="false" customHeight="false" outlineLevel="0" collapsed="false">
      <c r="A90" s="2" t="s">
        <v>403</v>
      </c>
      <c r="B90" s="2" t="n">
        <v>6</v>
      </c>
      <c r="C90" s="2" t="s">
        <v>395</v>
      </c>
      <c r="D90" s="2" t="s">
        <v>404</v>
      </c>
      <c r="E90" s="3" t="s">
        <v>405</v>
      </c>
      <c r="F90" s="3" t="s">
        <v>406</v>
      </c>
      <c r="G90" s="3"/>
      <c r="H90" s="2" t="s">
        <v>18</v>
      </c>
      <c r="I90" s="4"/>
      <c r="J90" s="5"/>
      <c r="K90" s="2"/>
      <c r="L90" s="2"/>
      <c r="M90" s="2"/>
    </row>
    <row r="91" customFormat="false" ht="15" hidden="false" customHeight="false" outlineLevel="0" collapsed="false">
      <c r="A91" s="2" t="s">
        <v>407</v>
      </c>
      <c r="B91" s="2" t="n">
        <v>6</v>
      </c>
      <c r="C91" s="2" t="s">
        <v>395</v>
      </c>
      <c r="D91" s="2" t="s">
        <v>408</v>
      </c>
      <c r="E91" s="3" t="s">
        <v>409</v>
      </c>
      <c r="F91" s="3" t="s">
        <v>410</v>
      </c>
      <c r="G91" s="3"/>
      <c r="H91" s="2" t="s">
        <v>18</v>
      </c>
      <c r="I91" s="4"/>
      <c r="J91" s="5"/>
      <c r="K91" s="2"/>
      <c r="L91" s="2"/>
      <c r="M91" s="2"/>
    </row>
    <row r="92" customFormat="false" ht="15" hidden="false" customHeight="false" outlineLevel="0" collapsed="false">
      <c r="A92" s="2" t="s">
        <v>411</v>
      </c>
      <c r="B92" s="2" t="n">
        <v>6</v>
      </c>
      <c r="C92" s="2" t="s">
        <v>395</v>
      </c>
      <c r="D92" s="2" t="s">
        <v>412</v>
      </c>
      <c r="E92" s="3" t="s">
        <v>413</v>
      </c>
      <c r="F92" s="3" t="s">
        <v>414</v>
      </c>
      <c r="G92" s="3" t="s">
        <v>415</v>
      </c>
      <c r="H92" s="2" t="s">
        <v>18</v>
      </c>
      <c r="I92" s="4"/>
      <c r="J92" s="5"/>
      <c r="K92" s="2"/>
      <c r="L92" s="2"/>
      <c r="M92" s="2"/>
    </row>
    <row r="93" customFormat="false" ht="15" hidden="false" customHeight="false" outlineLevel="0" collapsed="false">
      <c r="A93" s="2" t="s">
        <v>416</v>
      </c>
      <c r="B93" s="2" t="n">
        <v>6</v>
      </c>
      <c r="C93" s="2" t="s">
        <v>395</v>
      </c>
      <c r="D93" s="2" t="s">
        <v>417</v>
      </c>
      <c r="E93" s="3" t="s">
        <v>418</v>
      </c>
      <c r="F93" s="3" t="s">
        <v>419</v>
      </c>
      <c r="G93" s="3"/>
      <c r="H93" s="2" t="s">
        <v>18</v>
      </c>
      <c r="I93" s="4"/>
      <c r="J93" s="5"/>
      <c r="K93" s="2"/>
      <c r="L93" s="2"/>
      <c r="M93" s="2"/>
    </row>
    <row r="94" customFormat="false" ht="15" hidden="false" customHeight="false" outlineLevel="0" collapsed="false">
      <c r="A94" s="2" t="s">
        <v>420</v>
      </c>
      <c r="B94" s="2" t="n">
        <v>6</v>
      </c>
      <c r="C94" s="2" t="s">
        <v>395</v>
      </c>
      <c r="D94" s="2" t="s">
        <v>421</v>
      </c>
      <c r="E94" s="3" t="s">
        <v>422</v>
      </c>
      <c r="F94" s="3" t="s">
        <v>423</v>
      </c>
      <c r="G94" s="3"/>
      <c r="H94" s="2" t="s">
        <v>18</v>
      </c>
      <c r="I94" s="4"/>
      <c r="J94" s="5"/>
      <c r="K94" s="2"/>
      <c r="L94" s="2"/>
      <c r="M94" s="2"/>
    </row>
    <row r="95" customFormat="false" ht="23.85" hidden="false" customHeight="false" outlineLevel="0" collapsed="false">
      <c r="A95" s="2" t="s">
        <v>424</v>
      </c>
      <c r="B95" s="2" t="n">
        <v>6</v>
      </c>
      <c r="C95" s="2" t="s">
        <v>395</v>
      </c>
      <c r="D95" s="2" t="s">
        <v>425</v>
      </c>
      <c r="E95" s="3" t="s">
        <v>426</v>
      </c>
      <c r="F95" s="3" t="s">
        <v>427</v>
      </c>
      <c r="G95" s="3" t="s">
        <v>421</v>
      </c>
      <c r="H95" s="2" t="s">
        <v>28</v>
      </c>
      <c r="I95" s="4"/>
      <c r="J95" s="5"/>
      <c r="K95" s="2"/>
      <c r="L95" s="2"/>
      <c r="M95" s="2"/>
    </row>
    <row r="96" customFormat="false" ht="15" hidden="false" customHeight="false" outlineLevel="0" collapsed="false">
      <c r="A96" s="2" t="s">
        <v>428</v>
      </c>
      <c r="B96" s="2" t="n">
        <v>6</v>
      </c>
      <c r="C96" s="2" t="s">
        <v>395</v>
      </c>
      <c r="D96" s="2" t="s">
        <v>429</v>
      </c>
      <c r="E96" s="3" t="s">
        <v>430</v>
      </c>
      <c r="F96" s="3" t="s">
        <v>431</v>
      </c>
      <c r="G96" s="3"/>
      <c r="H96" s="2" t="s">
        <v>28</v>
      </c>
      <c r="I96" s="4"/>
      <c r="J96" s="5"/>
      <c r="K96" s="2"/>
      <c r="L96" s="2"/>
      <c r="M96" s="2"/>
    </row>
    <row r="97" customFormat="false" ht="46.25" hidden="false" customHeight="false" outlineLevel="0" collapsed="false">
      <c r="A97" s="2" t="s">
        <v>432</v>
      </c>
      <c r="B97" s="2" t="n">
        <v>6</v>
      </c>
      <c r="C97" s="2" t="s">
        <v>395</v>
      </c>
      <c r="D97" s="2" t="s">
        <v>433</v>
      </c>
      <c r="E97" s="3" t="s">
        <v>434</v>
      </c>
      <c r="F97" s="3" t="s">
        <v>435</v>
      </c>
      <c r="G97" s="3" t="s">
        <v>386</v>
      </c>
      <c r="H97" s="2" t="s">
        <v>28</v>
      </c>
      <c r="I97" s="4"/>
      <c r="J97" s="5"/>
      <c r="K97" s="2"/>
      <c r="L97" s="2"/>
      <c r="M97" s="2"/>
    </row>
    <row r="98" customFormat="false" ht="23.85" hidden="false" customHeight="false" outlineLevel="0" collapsed="false">
      <c r="A98" s="2" t="s">
        <v>436</v>
      </c>
      <c r="B98" s="2" t="n">
        <v>6</v>
      </c>
      <c r="C98" s="2" t="s">
        <v>395</v>
      </c>
      <c r="D98" s="2" t="s">
        <v>437</v>
      </c>
      <c r="E98" s="3" t="s">
        <v>438</v>
      </c>
      <c r="F98" s="3" t="s">
        <v>439</v>
      </c>
      <c r="G98" s="3"/>
      <c r="H98" s="2" t="s">
        <v>18</v>
      </c>
      <c r="I98" s="4"/>
      <c r="J98" s="5"/>
      <c r="K98" s="2"/>
      <c r="L98" s="2"/>
      <c r="M98" s="2"/>
    </row>
    <row r="99" customFormat="false" ht="35.05" hidden="false" customHeight="false" outlineLevel="0" collapsed="false">
      <c r="A99" s="2" t="s">
        <v>440</v>
      </c>
      <c r="B99" s="2" t="n">
        <v>6</v>
      </c>
      <c r="C99" s="2" t="s">
        <v>395</v>
      </c>
      <c r="D99" s="2" t="s">
        <v>441</v>
      </c>
      <c r="E99" s="3" t="s">
        <v>442</v>
      </c>
      <c r="F99" s="3" t="s">
        <v>443</v>
      </c>
      <c r="G99" s="3" t="s">
        <v>437</v>
      </c>
      <c r="H99" s="2" t="s">
        <v>18</v>
      </c>
      <c r="I99" s="4"/>
      <c r="J99" s="5"/>
      <c r="K99" s="2"/>
      <c r="L99" s="2"/>
      <c r="M99" s="2"/>
    </row>
    <row r="100" customFormat="false" ht="35.05" hidden="false" customHeight="false" outlineLevel="0" collapsed="false">
      <c r="A100" s="2" t="s">
        <v>444</v>
      </c>
      <c r="B100" s="2" t="n">
        <v>6</v>
      </c>
      <c r="C100" s="2" t="s">
        <v>395</v>
      </c>
      <c r="D100" s="2" t="s">
        <v>445</v>
      </c>
      <c r="E100" s="3" t="s">
        <v>446</v>
      </c>
      <c r="F100" s="3" t="s">
        <v>447</v>
      </c>
      <c r="G100" s="3" t="s">
        <v>448</v>
      </c>
      <c r="H100" s="2" t="s">
        <v>18</v>
      </c>
      <c r="I100" s="4"/>
      <c r="J100" s="5"/>
      <c r="K100" s="2"/>
      <c r="L100" s="2"/>
      <c r="M100" s="2"/>
    </row>
    <row r="101" customFormat="false" ht="46.25" hidden="false" customHeight="false" outlineLevel="0" collapsed="false">
      <c r="A101" s="2" t="s">
        <v>449</v>
      </c>
      <c r="B101" s="2" t="n">
        <v>6</v>
      </c>
      <c r="C101" s="2" t="s">
        <v>395</v>
      </c>
      <c r="D101" s="2" t="s">
        <v>450</v>
      </c>
      <c r="E101" s="3" t="s">
        <v>451</v>
      </c>
      <c r="F101" s="3" t="s">
        <v>452</v>
      </c>
      <c r="G101" s="3" t="s">
        <v>425</v>
      </c>
      <c r="H101" s="2"/>
      <c r="I101" s="4"/>
      <c r="J101" s="5"/>
      <c r="K101" s="2"/>
      <c r="L101" s="2"/>
      <c r="M101" s="2"/>
    </row>
    <row r="102" customFormat="false" ht="23.85" hidden="false" customHeight="false" outlineLevel="0" collapsed="false">
      <c r="A102" s="2" t="s">
        <v>453</v>
      </c>
      <c r="B102" s="2" t="n">
        <v>6</v>
      </c>
      <c r="C102" s="2" t="s">
        <v>454</v>
      </c>
      <c r="D102" s="2" t="s">
        <v>455</v>
      </c>
      <c r="E102" s="3" t="s">
        <v>456</v>
      </c>
      <c r="F102" s="3" t="s">
        <v>457</v>
      </c>
      <c r="G102" s="3"/>
      <c r="H102" s="2" t="s">
        <v>28</v>
      </c>
      <c r="I102" s="4"/>
      <c r="J102" s="5"/>
      <c r="K102" s="2"/>
      <c r="L102" s="2"/>
      <c r="M102" s="2"/>
    </row>
    <row r="103" customFormat="false" ht="23.85" hidden="false" customHeight="false" outlineLevel="0" collapsed="false">
      <c r="A103" s="2" t="s">
        <v>458</v>
      </c>
      <c r="B103" s="2" t="n">
        <v>6</v>
      </c>
      <c r="C103" s="2" t="s">
        <v>454</v>
      </c>
      <c r="D103" s="2" t="s">
        <v>459</v>
      </c>
      <c r="E103" s="3" t="s">
        <v>460</v>
      </c>
      <c r="F103" s="3" t="s">
        <v>461</v>
      </c>
      <c r="G103" s="3"/>
      <c r="H103" s="2" t="s">
        <v>28</v>
      </c>
      <c r="I103" s="4"/>
      <c r="J103" s="5"/>
      <c r="K103" s="2"/>
      <c r="L103" s="2"/>
      <c r="M103" s="2"/>
    </row>
    <row r="104" customFormat="false" ht="23.85" hidden="false" customHeight="false" outlineLevel="0" collapsed="false">
      <c r="A104" s="2" t="s">
        <v>462</v>
      </c>
      <c r="B104" s="2" t="n">
        <v>6</v>
      </c>
      <c r="C104" s="2" t="s">
        <v>454</v>
      </c>
      <c r="D104" s="2" t="s">
        <v>463</v>
      </c>
      <c r="E104" s="3" t="s">
        <v>464</v>
      </c>
      <c r="F104" s="3" t="s">
        <v>465</v>
      </c>
      <c r="G104" s="3"/>
      <c r="H104" s="2" t="s">
        <v>289</v>
      </c>
      <c r="I104" s="4"/>
      <c r="J104" s="5"/>
      <c r="K104" s="2"/>
      <c r="L104" s="2"/>
      <c r="M104" s="2"/>
    </row>
    <row r="105" customFormat="false" ht="15" hidden="false" customHeight="false" outlineLevel="0" collapsed="false">
      <c r="A105" s="2" t="s">
        <v>466</v>
      </c>
      <c r="B105" s="2" t="n">
        <v>6</v>
      </c>
      <c r="C105" s="2" t="s">
        <v>454</v>
      </c>
      <c r="D105" s="2" t="s">
        <v>467</v>
      </c>
      <c r="E105" s="3" t="s">
        <v>468</v>
      </c>
      <c r="F105" s="3" t="s">
        <v>469</v>
      </c>
      <c r="G105" s="3" t="s">
        <v>470</v>
      </c>
      <c r="H105" s="2"/>
      <c r="I105" s="4"/>
      <c r="J105" s="5"/>
      <c r="K105" s="2"/>
      <c r="L105" s="2"/>
      <c r="M105" s="2"/>
    </row>
    <row r="106" customFormat="false" ht="15" hidden="false" customHeight="false" outlineLevel="0" collapsed="false">
      <c r="A106" s="2" t="s">
        <v>471</v>
      </c>
      <c r="B106" s="2" t="n">
        <v>6</v>
      </c>
      <c r="C106" s="2" t="s">
        <v>454</v>
      </c>
      <c r="D106" s="2" t="s">
        <v>472</v>
      </c>
      <c r="E106" s="3" t="s">
        <v>473</v>
      </c>
      <c r="F106" s="3" t="s">
        <v>474</v>
      </c>
      <c r="G106" s="3" t="s">
        <v>470</v>
      </c>
      <c r="H106" s="2" t="s">
        <v>28</v>
      </c>
      <c r="I106" s="4"/>
      <c r="J106" s="5"/>
      <c r="K106" s="2"/>
      <c r="L106" s="2"/>
      <c r="M106" s="2"/>
    </row>
    <row r="107" customFormat="false" ht="23.85" hidden="false" customHeight="false" outlineLevel="0" collapsed="false">
      <c r="A107" s="2" t="s">
        <v>475</v>
      </c>
      <c r="B107" s="2" t="n">
        <v>6</v>
      </c>
      <c r="C107" s="2" t="s">
        <v>454</v>
      </c>
      <c r="D107" s="2" t="s">
        <v>476</v>
      </c>
      <c r="E107" s="3" t="s">
        <v>477</v>
      </c>
      <c r="F107" s="3" t="s">
        <v>478</v>
      </c>
      <c r="G107" s="3" t="s">
        <v>479</v>
      </c>
      <c r="H107" s="2"/>
      <c r="I107" s="4"/>
      <c r="J107" s="5"/>
      <c r="K107" s="2"/>
      <c r="L107" s="2"/>
      <c r="M107" s="2"/>
    </row>
    <row r="108" customFormat="false" ht="15" hidden="false" customHeight="false" outlineLevel="0" collapsed="false">
      <c r="A108" s="2" t="s">
        <v>480</v>
      </c>
      <c r="B108" s="2" t="n">
        <v>6</v>
      </c>
      <c r="C108" s="2" t="s">
        <v>454</v>
      </c>
      <c r="D108" s="2" t="s">
        <v>481</v>
      </c>
      <c r="E108" s="3" t="s">
        <v>482</v>
      </c>
      <c r="F108" s="3" t="s">
        <v>483</v>
      </c>
      <c r="G108" s="3" t="s">
        <v>484</v>
      </c>
      <c r="H108" s="2"/>
      <c r="I108" s="4"/>
      <c r="J108" s="5"/>
      <c r="K108" s="2"/>
      <c r="L108" s="2"/>
      <c r="M108" s="2"/>
    </row>
    <row r="109" customFormat="false" ht="23.85" hidden="false" customHeight="false" outlineLevel="0" collapsed="false">
      <c r="A109" s="2" t="s">
        <v>485</v>
      </c>
      <c r="B109" s="2" t="n">
        <v>6</v>
      </c>
      <c r="C109" s="2" t="s">
        <v>454</v>
      </c>
      <c r="D109" s="2" t="s">
        <v>486</v>
      </c>
      <c r="E109" s="3" t="s">
        <v>487</v>
      </c>
      <c r="F109" s="3" t="s">
        <v>488</v>
      </c>
      <c r="G109" s="3" t="s">
        <v>489</v>
      </c>
      <c r="H109" s="2" t="s">
        <v>138</v>
      </c>
      <c r="I109" s="4"/>
      <c r="J109" s="5"/>
      <c r="K109" s="2"/>
      <c r="L109" s="2"/>
      <c r="M109" s="2"/>
    </row>
    <row r="110" customFormat="false" ht="35.05" hidden="false" customHeight="false" outlineLevel="0" collapsed="false">
      <c r="A110" s="2" t="s">
        <v>490</v>
      </c>
      <c r="B110" s="2" t="n">
        <v>6</v>
      </c>
      <c r="C110" s="2" t="s">
        <v>454</v>
      </c>
      <c r="D110" s="2" t="s">
        <v>491</v>
      </c>
      <c r="E110" s="3" t="s">
        <v>492</v>
      </c>
      <c r="F110" s="3" t="s">
        <v>493</v>
      </c>
      <c r="G110" s="3" t="s">
        <v>479</v>
      </c>
      <c r="H110" s="2" t="s">
        <v>138</v>
      </c>
      <c r="I110" s="4"/>
      <c r="J110" s="5"/>
      <c r="K110" s="2"/>
      <c r="L110" s="2"/>
      <c r="M110" s="2"/>
    </row>
    <row r="111" customFormat="false" ht="23.85" hidden="false" customHeight="false" outlineLevel="0" collapsed="false">
      <c r="A111" s="2" t="s">
        <v>494</v>
      </c>
      <c r="B111" s="2" t="n">
        <v>7</v>
      </c>
      <c r="C111" s="2" t="s">
        <v>495</v>
      </c>
      <c r="D111" s="2" t="s">
        <v>496</v>
      </c>
      <c r="E111" s="3" t="s">
        <v>497</v>
      </c>
      <c r="F111" s="3" t="s">
        <v>498</v>
      </c>
      <c r="G111" s="3"/>
      <c r="H111" s="2" t="s">
        <v>18</v>
      </c>
      <c r="I111" s="4"/>
      <c r="J111" s="5"/>
      <c r="K111" s="2"/>
      <c r="L111" s="2"/>
      <c r="M111" s="2"/>
    </row>
    <row r="112" customFormat="false" ht="23.85" hidden="false" customHeight="false" outlineLevel="0" collapsed="false">
      <c r="A112" s="2" t="s">
        <v>499</v>
      </c>
      <c r="B112" s="2" t="n">
        <v>7</v>
      </c>
      <c r="C112" s="2" t="s">
        <v>495</v>
      </c>
      <c r="D112" s="2" t="s">
        <v>500</v>
      </c>
      <c r="E112" s="3" t="s">
        <v>501</v>
      </c>
      <c r="F112" s="3" t="s">
        <v>502</v>
      </c>
      <c r="G112" s="3"/>
      <c r="H112" s="2" t="s">
        <v>18</v>
      </c>
      <c r="I112" s="4"/>
      <c r="J112" s="5"/>
      <c r="K112" s="2"/>
      <c r="L112" s="2"/>
      <c r="M112" s="2"/>
    </row>
    <row r="113" customFormat="false" ht="15" hidden="false" customHeight="false" outlineLevel="0" collapsed="false">
      <c r="A113" s="2" t="s">
        <v>503</v>
      </c>
      <c r="B113" s="2" t="n">
        <v>7</v>
      </c>
      <c r="C113" s="2" t="s">
        <v>495</v>
      </c>
      <c r="D113" s="2" t="s">
        <v>504</v>
      </c>
      <c r="E113" s="3" t="s">
        <v>505</v>
      </c>
      <c r="F113" s="3" t="s">
        <v>506</v>
      </c>
      <c r="G113" s="3" t="s">
        <v>500</v>
      </c>
      <c r="H113" s="2" t="s">
        <v>18</v>
      </c>
      <c r="I113" s="4"/>
      <c r="J113" s="5"/>
      <c r="K113" s="2"/>
      <c r="L113" s="2"/>
      <c r="M113" s="2"/>
    </row>
    <row r="114" customFormat="false" ht="23.85" hidden="false" customHeight="false" outlineLevel="0" collapsed="false">
      <c r="A114" s="2" t="s">
        <v>507</v>
      </c>
      <c r="B114" s="2" t="n">
        <v>7</v>
      </c>
      <c r="C114" s="2" t="s">
        <v>495</v>
      </c>
      <c r="D114" s="2" t="s">
        <v>508</v>
      </c>
      <c r="E114" s="3" t="s">
        <v>509</v>
      </c>
      <c r="F114" s="3" t="s">
        <v>510</v>
      </c>
      <c r="G114" s="3" t="s">
        <v>511</v>
      </c>
      <c r="H114" s="2" t="s">
        <v>28</v>
      </c>
      <c r="I114" s="4"/>
      <c r="J114" s="5"/>
      <c r="K114" s="2"/>
      <c r="L114" s="2"/>
      <c r="M114" s="2"/>
    </row>
    <row r="115" customFormat="false" ht="23.85" hidden="false" customHeight="false" outlineLevel="0" collapsed="false">
      <c r="A115" s="2" t="s">
        <v>512</v>
      </c>
      <c r="B115" s="2" t="n">
        <v>7</v>
      </c>
      <c r="C115" s="2" t="s">
        <v>495</v>
      </c>
      <c r="D115" s="2" t="s">
        <v>513</v>
      </c>
      <c r="E115" s="3" t="s">
        <v>514</v>
      </c>
      <c r="F115" s="3" t="s">
        <v>515</v>
      </c>
      <c r="G115" s="3" t="s">
        <v>500</v>
      </c>
      <c r="H115" s="2" t="s">
        <v>28</v>
      </c>
      <c r="I115" s="4"/>
      <c r="J115" s="5"/>
      <c r="K115" s="2"/>
      <c r="L115" s="2"/>
      <c r="M115" s="2"/>
    </row>
    <row r="116" customFormat="false" ht="23.85" hidden="false" customHeight="false" outlineLevel="0" collapsed="false">
      <c r="A116" s="2" t="s">
        <v>516</v>
      </c>
      <c r="B116" s="2" t="n">
        <v>7</v>
      </c>
      <c r="C116" s="2" t="s">
        <v>495</v>
      </c>
      <c r="D116" s="2" t="s">
        <v>517</v>
      </c>
      <c r="E116" s="3" t="s">
        <v>518</v>
      </c>
      <c r="F116" s="3" t="s">
        <v>519</v>
      </c>
      <c r="G116" s="3" t="s">
        <v>500</v>
      </c>
      <c r="H116" s="2" t="s">
        <v>28</v>
      </c>
      <c r="I116" s="4"/>
      <c r="J116" s="5"/>
      <c r="K116" s="2"/>
      <c r="L116" s="2"/>
      <c r="M116" s="2"/>
    </row>
    <row r="117" customFormat="false" ht="23.85" hidden="false" customHeight="false" outlineLevel="0" collapsed="false">
      <c r="A117" s="2" t="s">
        <v>520</v>
      </c>
      <c r="B117" s="2" t="n">
        <v>7</v>
      </c>
      <c r="C117" s="2" t="s">
        <v>495</v>
      </c>
      <c r="D117" s="2" t="s">
        <v>521</v>
      </c>
      <c r="E117" s="3" t="s">
        <v>522</v>
      </c>
      <c r="F117" s="3" t="s">
        <v>523</v>
      </c>
      <c r="G117" s="3" t="s">
        <v>500</v>
      </c>
      <c r="H117" s="2" t="s">
        <v>28</v>
      </c>
      <c r="I117" s="4"/>
      <c r="J117" s="5"/>
      <c r="K117" s="2"/>
      <c r="L117" s="2"/>
      <c r="M117" s="2"/>
    </row>
    <row r="118" customFormat="false" ht="23.85" hidden="false" customHeight="false" outlineLevel="0" collapsed="false">
      <c r="A118" s="2" t="s">
        <v>524</v>
      </c>
      <c r="B118" s="2" t="n">
        <v>7</v>
      </c>
      <c r="C118" s="2" t="s">
        <v>495</v>
      </c>
      <c r="D118" s="2" t="s">
        <v>298</v>
      </c>
      <c r="E118" s="3" t="s">
        <v>525</v>
      </c>
      <c r="F118" s="3" t="s">
        <v>526</v>
      </c>
      <c r="G118" s="3" t="s">
        <v>508</v>
      </c>
      <c r="H118" s="2" t="s">
        <v>28</v>
      </c>
      <c r="I118" s="4"/>
      <c r="J118" s="5"/>
      <c r="K118" s="2"/>
      <c r="L118" s="2"/>
      <c r="M118" s="2"/>
    </row>
    <row r="119" customFormat="false" ht="23.85" hidden="false" customHeight="false" outlineLevel="0" collapsed="false">
      <c r="A119" s="2" t="s">
        <v>527</v>
      </c>
      <c r="B119" s="2" t="n">
        <v>7</v>
      </c>
      <c r="C119" s="2" t="s">
        <v>528</v>
      </c>
      <c r="D119" s="2" t="s">
        <v>529</v>
      </c>
      <c r="E119" s="3" t="s">
        <v>530</v>
      </c>
      <c r="F119" s="3" t="s">
        <v>531</v>
      </c>
      <c r="G119" s="3"/>
      <c r="H119" s="2" t="s">
        <v>18</v>
      </c>
      <c r="I119" s="4"/>
      <c r="J119" s="5"/>
      <c r="K119" s="2"/>
      <c r="L119" s="2"/>
      <c r="M119" s="2"/>
    </row>
    <row r="120" customFormat="false" ht="46.25" hidden="false" customHeight="false" outlineLevel="0" collapsed="false">
      <c r="A120" s="2" t="s">
        <v>532</v>
      </c>
      <c r="B120" s="2" t="n">
        <v>7</v>
      </c>
      <c r="C120" s="2" t="s">
        <v>528</v>
      </c>
      <c r="D120" s="2" t="s">
        <v>533</v>
      </c>
      <c r="E120" s="3" t="s">
        <v>534</v>
      </c>
      <c r="F120" s="3" t="s">
        <v>535</v>
      </c>
      <c r="G120" s="3" t="s">
        <v>529</v>
      </c>
      <c r="H120" s="2" t="s">
        <v>28</v>
      </c>
      <c r="I120" s="4"/>
      <c r="J120" s="5"/>
      <c r="K120" s="2"/>
      <c r="L120" s="2"/>
      <c r="M120" s="2"/>
    </row>
    <row r="121" customFormat="false" ht="35.05" hidden="false" customHeight="false" outlineLevel="0" collapsed="false">
      <c r="A121" s="2" t="s">
        <v>536</v>
      </c>
      <c r="B121" s="2" t="n">
        <v>7</v>
      </c>
      <c r="C121" s="2" t="s">
        <v>528</v>
      </c>
      <c r="D121" s="2" t="s">
        <v>537</v>
      </c>
      <c r="E121" s="3" t="s">
        <v>538</v>
      </c>
      <c r="F121" s="3" t="s">
        <v>539</v>
      </c>
      <c r="G121" s="3" t="s">
        <v>529</v>
      </c>
      <c r="H121" s="2" t="s">
        <v>18</v>
      </c>
      <c r="I121" s="4"/>
      <c r="J121" s="5"/>
      <c r="K121" s="2"/>
      <c r="L121" s="2"/>
      <c r="M121" s="2"/>
    </row>
    <row r="122" customFormat="false" ht="35.05" hidden="false" customHeight="false" outlineLevel="0" collapsed="false">
      <c r="A122" s="2" t="s">
        <v>540</v>
      </c>
      <c r="B122" s="2" t="n">
        <v>7</v>
      </c>
      <c r="C122" s="2" t="s">
        <v>528</v>
      </c>
      <c r="D122" s="2" t="s">
        <v>541</v>
      </c>
      <c r="E122" s="3" t="s">
        <v>542</v>
      </c>
      <c r="F122" s="3" t="s">
        <v>543</v>
      </c>
      <c r="G122" s="3" t="s">
        <v>529</v>
      </c>
      <c r="H122" s="2" t="s">
        <v>18</v>
      </c>
      <c r="I122" s="4"/>
      <c r="J122" s="5"/>
      <c r="K122" s="2"/>
      <c r="L122" s="2"/>
      <c r="M122" s="2"/>
    </row>
    <row r="123" customFormat="false" ht="15" hidden="false" customHeight="false" outlineLevel="0" collapsed="false">
      <c r="A123" s="2" t="s">
        <v>544</v>
      </c>
      <c r="B123" s="2" t="n">
        <v>7</v>
      </c>
      <c r="C123" s="2" t="s">
        <v>528</v>
      </c>
      <c r="D123" s="2" t="s">
        <v>545</v>
      </c>
      <c r="E123" s="3" t="s">
        <v>546</v>
      </c>
      <c r="F123" s="3" t="s">
        <v>547</v>
      </c>
      <c r="G123" s="3" t="s">
        <v>548</v>
      </c>
      <c r="H123" s="2" t="s">
        <v>28</v>
      </c>
      <c r="I123" s="4"/>
      <c r="J123" s="5"/>
      <c r="K123" s="2"/>
      <c r="L123" s="2"/>
      <c r="M123" s="2"/>
    </row>
    <row r="124" customFormat="false" ht="15" hidden="false" customHeight="false" outlineLevel="0" collapsed="false">
      <c r="A124" s="2" t="s">
        <v>549</v>
      </c>
      <c r="B124" s="2" t="n">
        <v>7</v>
      </c>
      <c r="C124" s="2" t="s">
        <v>528</v>
      </c>
      <c r="D124" s="2" t="s">
        <v>550</v>
      </c>
      <c r="E124" s="3" t="s">
        <v>551</v>
      </c>
      <c r="F124" s="3" t="s">
        <v>552</v>
      </c>
      <c r="G124" s="3" t="s">
        <v>553</v>
      </c>
      <c r="H124" s="2" t="s">
        <v>28</v>
      </c>
      <c r="I124" s="4"/>
      <c r="J124" s="5"/>
      <c r="K124" s="2"/>
      <c r="L124" s="2"/>
      <c r="M124" s="2"/>
    </row>
    <row r="125" customFormat="false" ht="35.05" hidden="false" customHeight="false" outlineLevel="0" collapsed="false">
      <c r="A125" s="2" t="s">
        <v>554</v>
      </c>
      <c r="B125" s="2" t="n">
        <v>7</v>
      </c>
      <c r="C125" s="2" t="s">
        <v>528</v>
      </c>
      <c r="D125" s="2" t="s">
        <v>555</v>
      </c>
      <c r="E125" s="3" t="s">
        <v>556</v>
      </c>
      <c r="F125" s="3" t="s">
        <v>557</v>
      </c>
      <c r="G125" s="3" t="s">
        <v>553</v>
      </c>
      <c r="H125" s="2" t="s">
        <v>28</v>
      </c>
      <c r="I125" s="4"/>
      <c r="J125" s="5"/>
      <c r="K125" s="2"/>
      <c r="L125" s="2"/>
      <c r="M125" s="2"/>
    </row>
    <row r="126" customFormat="false" ht="35.05" hidden="false" customHeight="false" outlineLevel="0" collapsed="false">
      <c r="A126" s="2" t="s">
        <v>558</v>
      </c>
      <c r="B126" s="2" t="n">
        <v>7</v>
      </c>
      <c r="C126" s="2" t="s">
        <v>528</v>
      </c>
      <c r="D126" s="2" t="s">
        <v>559</v>
      </c>
      <c r="E126" s="3" t="s">
        <v>560</v>
      </c>
      <c r="F126" s="3" t="s">
        <v>561</v>
      </c>
      <c r="G126" s="3" t="s">
        <v>529</v>
      </c>
      <c r="H126" s="2" t="s">
        <v>28</v>
      </c>
      <c r="I126" s="4" t="n">
        <v>0.9326</v>
      </c>
      <c r="J126" s="5"/>
      <c r="K126" s="2" t="str">
        <f aca="false">IF(OR(J126="",I126=""),"",IF(ABS(J126-I126)&lt;=MAX(0.0001,ABS(I126)*0.0001),"MATCH","CHECK"))</f>
        <v/>
      </c>
      <c r="L126" s="2"/>
      <c r="M126" s="2"/>
    </row>
    <row r="127" customFormat="false" ht="35.05" hidden="false" customHeight="false" outlineLevel="0" collapsed="false">
      <c r="A127" s="2" t="s">
        <v>562</v>
      </c>
      <c r="B127" s="2" t="n">
        <v>7</v>
      </c>
      <c r="C127" s="2" t="s">
        <v>528</v>
      </c>
      <c r="D127" s="2" t="s">
        <v>563</v>
      </c>
      <c r="E127" s="3" t="s">
        <v>564</v>
      </c>
      <c r="F127" s="3" t="s">
        <v>565</v>
      </c>
      <c r="G127" s="3" t="s">
        <v>529</v>
      </c>
      <c r="H127" s="2" t="s">
        <v>28</v>
      </c>
      <c r="I127" s="4" t="n">
        <v>0.055699</v>
      </c>
      <c r="J127" s="5"/>
      <c r="K127" s="2" t="str">
        <f aca="false">IF(OR(J127="",I127=""),"",IF(ABS(J127-I127)&lt;=MAX(0.0001,ABS(I127)*0.0001),"MATCH","CHECK"))</f>
        <v/>
      </c>
      <c r="L127" s="2"/>
      <c r="M127" s="2"/>
    </row>
    <row r="128" customFormat="false" ht="35.05" hidden="false" customHeight="false" outlineLevel="0" collapsed="false">
      <c r="A128" s="2" t="s">
        <v>566</v>
      </c>
      <c r="B128" s="2" t="n">
        <v>7</v>
      </c>
      <c r="C128" s="2" t="s">
        <v>528</v>
      </c>
      <c r="D128" s="2" t="s">
        <v>567</v>
      </c>
      <c r="E128" s="3" t="s">
        <v>568</v>
      </c>
      <c r="F128" s="3" t="s">
        <v>569</v>
      </c>
      <c r="G128" s="3" t="s">
        <v>529</v>
      </c>
      <c r="H128" s="2" t="s">
        <v>28</v>
      </c>
      <c r="I128" s="4" t="n">
        <v>0.542373</v>
      </c>
      <c r="J128" s="5"/>
      <c r="K128" s="2" t="str">
        <f aca="false">IF(OR(J128="",I128=""),"",IF(ABS(J128-I128)&lt;=MAX(0.0001,ABS(I128)*0.0001),"MATCH","CHECK"))</f>
        <v/>
      </c>
      <c r="L128" s="2"/>
      <c r="M128" s="2"/>
    </row>
    <row r="129" customFormat="false" ht="35.05" hidden="false" customHeight="false" outlineLevel="0" collapsed="false">
      <c r="A129" s="2" t="s">
        <v>570</v>
      </c>
      <c r="B129" s="2" t="n">
        <v>7</v>
      </c>
      <c r="C129" s="2" t="s">
        <v>528</v>
      </c>
      <c r="D129" s="2" t="s">
        <v>571</v>
      </c>
      <c r="E129" s="3" t="s">
        <v>572</v>
      </c>
      <c r="F129" s="3" t="s">
        <v>573</v>
      </c>
      <c r="G129" s="3" t="s">
        <v>529</v>
      </c>
      <c r="H129" s="2" t="s">
        <v>28</v>
      </c>
      <c r="I129" s="4" t="n">
        <v>0.369048</v>
      </c>
      <c r="J129" s="5"/>
      <c r="K129" s="2" t="str">
        <f aca="false">IF(OR(J129="",I129=""),"",IF(ABS(J129-I129)&lt;=MAX(0.0001,ABS(I129)*0.0001),"MATCH","CHECK"))</f>
        <v/>
      </c>
      <c r="L129" s="2"/>
      <c r="M129" s="2"/>
    </row>
    <row r="130" customFormat="false" ht="35.05" hidden="false" customHeight="false" outlineLevel="0" collapsed="false">
      <c r="A130" s="2" t="s">
        <v>574</v>
      </c>
      <c r="B130" s="2" t="n">
        <v>7</v>
      </c>
      <c r="C130" s="2" t="s">
        <v>575</v>
      </c>
      <c r="D130" s="2" t="s">
        <v>576</v>
      </c>
      <c r="E130" s="3" t="s">
        <v>577</v>
      </c>
      <c r="F130" s="3" t="s">
        <v>578</v>
      </c>
      <c r="G130" s="3" t="s">
        <v>500</v>
      </c>
      <c r="H130" s="2" t="s">
        <v>18</v>
      </c>
      <c r="I130" s="4"/>
      <c r="J130" s="5"/>
      <c r="K130" s="2"/>
      <c r="L130" s="2"/>
      <c r="M130" s="2"/>
    </row>
    <row r="131" customFormat="false" ht="35.05" hidden="false" customHeight="false" outlineLevel="0" collapsed="false">
      <c r="A131" s="2" t="s">
        <v>579</v>
      </c>
      <c r="B131" s="2" t="n">
        <v>7</v>
      </c>
      <c r="C131" s="2" t="s">
        <v>575</v>
      </c>
      <c r="D131" s="2" t="s">
        <v>580</v>
      </c>
      <c r="E131" s="3" t="s">
        <v>581</v>
      </c>
      <c r="F131" s="3" t="s">
        <v>582</v>
      </c>
      <c r="G131" s="3" t="s">
        <v>500</v>
      </c>
      <c r="H131" s="2" t="s">
        <v>18</v>
      </c>
      <c r="I131" s="4"/>
      <c r="J131" s="5"/>
      <c r="K131" s="2"/>
      <c r="L131" s="2"/>
      <c r="M131" s="2"/>
    </row>
    <row r="132" customFormat="false" ht="23.85" hidden="false" customHeight="false" outlineLevel="0" collapsed="false">
      <c r="A132" s="2" t="s">
        <v>583</v>
      </c>
      <c r="B132" s="2" t="n">
        <v>7</v>
      </c>
      <c r="C132" s="2" t="s">
        <v>575</v>
      </c>
      <c r="D132" s="2" t="s">
        <v>584</v>
      </c>
      <c r="E132" s="3" t="s">
        <v>585</v>
      </c>
      <c r="F132" s="3" t="s">
        <v>586</v>
      </c>
      <c r="G132" s="3" t="s">
        <v>500</v>
      </c>
      <c r="H132" s="2" t="s">
        <v>18</v>
      </c>
      <c r="I132" s="4"/>
      <c r="J132" s="5"/>
      <c r="K132" s="2"/>
      <c r="L132" s="2"/>
      <c r="M132" s="2"/>
    </row>
    <row r="133" customFormat="false" ht="46.25" hidden="false" customHeight="false" outlineLevel="0" collapsed="false">
      <c r="A133" s="2" t="s">
        <v>587</v>
      </c>
      <c r="B133" s="2" t="n">
        <v>7</v>
      </c>
      <c r="C133" s="2" t="s">
        <v>575</v>
      </c>
      <c r="D133" s="2" t="s">
        <v>588</v>
      </c>
      <c r="E133" s="3" t="s">
        <v>589</v>
      </c>
      <c r="F133" s="3" t="s">
        <v>590</v>
      </c>
      <c r="G133" s="3"/>
      <c r="H133" s="2" t="s">
        <v>117</v>
      </c>
      <c r="I133" s="4"/>
      <c r="J133" s="5"/>
      <c r="K133" s="2"/>
      <c r="L133" s="2"/>
      <c r="M133" s="2"/>
    </row>
    <row r="134" customFormat="false" ht="46.25" hidden="false" customHeight="false" outlineLevel="0" collapsed="false">
      <c r="A134" s="2" t="s">
        <v>591</v>
      </c>
      <c r="B134" s="2" t="n">
        <v>7</v>
      </c>
      <c r="C134" s="2" t="s">
        <v>575</v>
      </c>
      <c r="D134" s="2" t="s">
        <v>592</v>
      </c>
      <c r="E134" s="3" t="s">
        <v>593</v>
      </c>
      <c r="F134" s="3" t="s">
        <v>594</v>
      </c>
      <c r="G134" s="3"/>
      <c r="H134" s="2" t="s">
        <v>18</v>
      </c>
      <c r="I134" s="4"/>
      <c r="J134" s="5"/>
      <c r="K134" s="2"/>
      <c r="L134" s="2"/>
      <c r="M134" s="2"/>
    </row>
    <row r="135" customFormat="false" ht="23.85" hidden="false" customHeight="false" outlineLevel="0" collapsed="false">
      <c r="A135" s="2" t="s">
        <v>595</v>
      </c>
      <c r="B135" s="2" t="n">
        <v>8</v>
      </c>
      <c r="C135" s="2" t="s">
        <v>596</v>
      </c>
      <c r="D135" s="2" t="s">
        <v>597</v>
      </c>
      <c r="E135" s="3" t="s">
        <v>598</v>
      </c>
      <c r="F135" s="3" t="s">
        <v>599</v>
      </c>
      <c r="G135" s="3"/>
      <c r="H135" s="2" t="s">
        <v>18</v>
      </c>
      <c r="I135" s="4"/>
      <c r="J135" s="5"/>
      <c r="K135" s="2"/>
      <c r="L135" s="2"/>
      <c r="M135" s="2"/>
    </row>
    <row r="136" customFormat="false" ht="23.85" hidden="false" customHeight="false" outlineLevel="0" collapsed="false">
      <c r="A136" s="2" t="s">
        <v>600</v>
      </c>
      <c r="B136" s="2" t="n">
        <v>8</v>
      </c>
      <c r="C136" s="2" t="s">
        <v>596</v>
      </c>
      <c r="D136" s="2" t="s">
        <v>601</v>
      </c>
      <c r="E136" s="3" t="s">
        <v>602</v>
      </c>
      <c r="F136" s="3" t="s">
        <v>603</v>
      </c>
      <c r="G136" s="3"/>
      <c r="H136" s="2" t="s">
        <v>112</v>
      </c>
      <c r="I136" s="4"/>
      <c r="J136" s="5"/>
      <c r="K136" s="2"/>
      <c r="L136" s="2"/>
      <c r="M136" s="2"/>
    </row>
    <row r="137" customFormat="false" ht="23.85" hidden="false" customHeight="false" outlineLevel="0" collapsed="false">
      <c r="A137" s="2" t="s">
        <v>604</v>
      </c>
      <c r="B137" s="2" t="n">
        <v>8</v>
      </c>
      <c r="C137" s="2" t="s">
        <v>596</v>
      </c>
      <c r="D137" s="2" t="s">
        <v>605</v>
      </c>
      <c r="E137" s="3" t="s">
        <v>606</v>
      </c>
      <c r="F137" s="3" t="s">
        <v>607</v>
      </c>
      <c r="G137" s="3"/>
      <c r="H137" s="2" t="s">
        <v>112</v>
      </c>
      <c r="I137" s="4"/>
      <c r="J137" s="5"/>
      <c r="K137" s="2"/>
      <c r="L137" s="2"/>
      <c r="M137" s="2"/>
    </row>
    <row r="138" customFormat="false" ht="23.85" hidden="false" customHeight="false" outlineLevel="0" collapsed="false">
      <c r="A138" s="2" t="s">
        <v>608</v>
      </c>
      <c r="B138" s="2" t="n">
        <v>8</v>
      </c>
      <c r="C138" s="2" t="s">
        <v>596</v>
      </c>
      <c r="D138" s="2" t="s">
        <v>609</v>
      </c>
      <c r="E138" s="3" t="s">
        <v>610</v>
      </c>
      <c r="F138" s="3" t="s">
        <v>611</v>
      </c>
      <c r="G138" s="3"/>
      <c r="H138" s="2" t="s">
        <v>112</v>
      </c>
      <c r="I138" s="4"/>
      <c r="J138" s="5"/>
      <c r="K138" s="2"/>
      <c r="L138" s="2"/>
      <c r="M138" s="2"/>
    </row>
    <row r="139" customFormat="false" ht="23.85" hidden="false" customHeight="false" outlineLevel="0" collapsed="false">
      <c r="A139" s="2" t="s">
        <v>612</v>
      </c>
      <c r="B139" s="2" t="n">
        <v>8</v>
      </c>
      <c r="C139" s="2" t="s">
        <v>596</v>
      </c>
      <c r="D139" s="2" t="s">
        <v>613</v>
      </c>
      <c r="E139" s="3" t="s">
        <v>614</v>
      </c>
      <c r="F139" s="3" t="s">
        <v>615</v>
      </c>
      <c r="G139" s="3"/>
      <c r="H139" s="2" t="s">
        <v>112</v>
      </c>
      <c r="I139" s="4"/>
      <c r="J139" s="5"/>
      <c r="K139" s="2"/>
      <c r="L139" s="2"/>
      <c r="M139" s="2"/>
    </row>
    <row r="140" customFormat="false" ht="23.85" hidden="false" customHeight="false" outlineLevel="0" collapsed="false">
      <c r="A140" s="2" t="s">
        <v>616</v>
      </c>
      <c r="B140" s="2" t="n">
        <v>8</v>
      </c>
      <c r="C140" s="2" t="s">
        <v>596</v>
      </c>
      <c r="D140" s="2" t="s">
        <v>617</v>
      </c>
      <c r="E140" s="3" t="s">
        <v>618</v>
      </c>
      <c r="F140" s="3" t="s">
        <v>619</v>
      </c>
      <c r="G140" s="3"/>
      <c r="H140" s="2" t="s">
        <v>28</v>
      </c>
      <c r="I140" s="4"/>
      <c r="J140" s="5"/>
      <c r="K140" s="2"/>
      <c r="L140" s="2"/>
      <c r="M140" s="2"/>
    </row>
    <row r="141" customFormat="false" ht="15" hidden="false" customHeight="false" outlineLevel="0" collapsed="false">
      <c r="A141" s="2" t="s">
        <v>620</v>
      </c>
      <c r="B141" s="2" t="n">
        <v>8</v>
      </c>
      <c r="C141" s="2" t="s">
        <v>596</v>
      </c>
      <c r="D141" s="2" t="s">
        <v>621</v>
      </c>
      <c r="E141" s="3" t="s">
        <v>622</v>
      </c>
      <c r="F141" s="3" t="s">
        <v>623</v>
      </c>
      <c r="G141" s="3"/>
      <c r="H141" s="2" t="s">
        <v>138</v>
      </c>
      <c r="I141" s="4"/>
      <c r="J141" s="5"/>
      <c r="K141" s="2"/>
      <c r="L141" s="2"/>
      <c r="M141" s="2"/>
    </row>
    <row r="142" customFormat="false" ht="68.65" hidden="false" customHeight="false" outlineLevel="0" collapsed="false">
      <c r="A142" s="2" t="s">
        <v>624</v>
      </c>
      <c r="B142" s="2" t="n">
        <v>8</v>
      </c>
      <c r="C142" s="2" t="s">
        <v>596</v>
      </c>
      <c r="D142" s="2" t="s">
        <v>625</v>
      </c>
      <c r="E142" s="3" t="s">
        <v>626</v>
      </c>
      <c r="F142" s="3" t="s">
        <v>627</v>
      </c>
      <c r="G142" s="3" t="s">
        <v>597</v>
      </c>
      <c r="H142" s="2" t="s">
        <v>112</v>
      </c>
      <c r="I142" s="4"/>
      <c r="J142" s="5"/>
      <c r="K142" s="2"/>
      <c r="L142" s="2"/>
      <c r="M142" s="2"/>
    </row>
    <row r="143" customFormat="false" ht="23.85" hidden="false" customHeight="false" outlineLevel="0" collapsed="false">
      <c r="A143" s="2" t="s">
        <v>628</v>
      </c>
      <c r="B143" s="2" t="n">
        <v>8</v>
      </c>
      <c r="C143" s="2" t="s">
        <v>596</v>
      </c>
      <c r="D143" s="2" t="s">
        <v>629</v>
      </c>
      <c r="E143" s="3" t="s">
        <v>630</v>
      </c>
      <c r="F143" s="3" t="s">
        <v>631</v>
      </c>
      <c r="G143" s="3" t="s">
        <v>632</v>
      </c>
      <c r="H143" s="2" t="s">
        <v>28</v>
      </c>
      <c r="I143" s="4"/>
      <c r="J143" s="5"/>
      <c r="K143" s="2"/>
      <c r="L143" s="2"/>
      <c r="M143" s="2"/>
    </row>
    <row r="144" customFormat="false" ht="35.05" hidden="false" customHeight="false" outlineLevel="0" collapsed="false">
      <c r="A144" s="2" t="s">
        <v>633</v>
      </c>
      <c r="B144" s="2" t="n">
        <v>8</v>
      </c>
      <c r="C144" s="2" t="s">
        <v>596</v>
      </c>
      <c r="D144" s="2" t="s">
        <v>634</v>
      </c>
      <c r="E144" s="3" t="s">
        <v>635</v>
      </c>
      <c r="F144" s="3" t="s">
        <v>636</v>
      </c>
      <c r="G144" s="3"/>
      <c r="H144" s="2" t="s">
        <v>216</v>
      </c>
      <c r="I144" s="4"/>
      <c r="J144" s="5"/>
      <c r="K144" s="2"/>
      <c r="L144" s="2"/>
      <c r="M144" s="2"/>
    </row>
    <row r="145" customFormat="false" ht="35.05" hidden="false" customHeight="false" outlineLevel="0" collapsed="false">
      <c r="A145" s="2" t="s">
        <v>637</v>
      </c>
      <c r="B145" s="2" t="n">
        <v>8</v>
      </c>
      <c r="C145" s="2" t="s">
        <v>596</v>
      </c>
      <c r="D145" s="2" t="s">
        <v>638</v>
      </c>
      <c r="E145" s="3" t="s">
        <v>639</v>
      </c>
      <c r="F145" s="3" t="s">
        <v>640</v>
      </c>
      <c r="G145" s="3"/>
      <c r="H145" s="2" t="s">
        <v>112</v>
      </c>
      <c r="I145" s="4"/>
      <c r="J145" s="5"/>
      <c r="K145" s="2"/>
      <c r="L145" s="2"/>
      <c r="M145" s="2"/>
    </row>
    <row r="146" customFormat="false" ht="113.4" hidden="false" customHeight="false" outlineLevel="0" collapsed="false">
      <c r="A146" s="2" t="s">
        <v>641</v>
      </c>
      <c r="B146" s="2" t="n">
        <v>8</v>
      </c>
      <c r="C146" s="2" t="s">
        <v>596</v>
      </c>
      <c r="D146" s="2" t="s">
        <v>642</v>
      </c>
      <c r="E146" s="3" t="s">
        <v>643</v>
      </c>
      <c r="F146" s="3" t="s">
        <v>644</v>
      </c>
      <c r="G146" s="3" t="s">
        <v>601</v>
      </c>
      <c r="H146" s="2" t="s">
        <v>112</v>
      </c>
      <c r="I146" s="4"/>
      <c r="J146" s="5"/>
      <c r="K146" s="2"/>
      <c r="L146" s="2"/>
      <c r="M146" s="2"/>
    </row>
    <row r="147" customFormat="false" ht="23.85" hidden="false" customHeight="false" outlineLevel="0" collapsed="false">
      <c r="A147" s="2" t="s">
        <v>645</v>
      </c>
      <c r="B147" s="2" t="n">
        <v>8</v>
      </c>
      <c r="C147" s="2" t="s">
        <v>596</v>
      </c>
      <c r="D147" s="2" t="s">
        <v>646</v>
      </c>
      <c r="E147" s="3" t="s">
        <v>647</v>
      </c>
      <c r="F147" s="3" t="s">
        <v>648</v>
      </c>
      <c r="G147" s="3" t="s">
        <v>109</v>
      </c>
      <c r="H147" s="2" t="s">
        <v>112</v>
      </c>
      <c r="I147" s="4"/>
      <c r="J147" s="5"/>
      <c r="K147" s="2"/>
      <c r="L147" s="2"/>
      <c r="M147" s="2"/>
    </row>
    <row r="148" customFormat="false" ht="15" hidden="false" customHeight="false" outlineLevel="0" collapsed="false">
      <c r="A148" s="2" t="s">
        <v>649</v>
      </c>
      <c r="B148" s="2" t="n">
        <v>8</v>
      </c>
      <c r="C148" s="2" t="s">
        <v>596</v>
      </c>
      <c r="D148" s="2" t="s">
        <v>650</v>
      </c>
      <c r="E148" s="3" t="s">
        <v>651</v>
      </c>
      <c r="F148" s="3" t="s">
        <v>652</v>
      </c>
      <c r="G148" s="3" t="s">
        <v>119</v>
      </c>
      <c r="H148" s="2" t="s">
        <v>117</v>
      </c>
      <c r="I148" s="4"/>
      <c r="J148" s="5"/>
      <c r="K148" s="2"/>
      <c r="L148" s="2"/>
      <c r="M148" s="2"/>
    </row>
    <row r="149" customFormat="false" ht="15" hidden="false" customHeight="false" outlineLevel="0" collapsed="false">
      <c r="A149" s="2" t="s">
        <v>653</v>
      </c>
      <c r="B149" s="2" t="n">
        <v>9</v>
      </c>
      <c r="C149" s="2" t="s">
        <v>654</v>
      </c>
      <c r="D149" s="2" t="s">
        <v>655</v>
      </c>
      <c r="E149" s="3" t="s">
        <v>656</v>
      </c>
      <c r="F149" s="3" t="s">
        <v>657</v>
      </c>
      <c r="G149" s="3"/>
      <c r="H149" s="2" t="s">
        <v>18</v>
      </c>
      <c r="I149" s="4" t="n">
        <v>11662952.9</v>
      </c>
      <c r="J149" s="5"/>
      <c r="K149" s="2" t="str">
        <f aca="false">IF(OR(J149="",I149=""),"",IF(ABS(J149-I149)&lt;=MAX(0.0001,ABS(I149)*0.0001),"MATCH","CHECK"))</f>
        <v/>
      </c>
      <c r="L149" s="2"/>
      <c r="M149" s="2"/>
    </row>
    <row r="150" customFormat="false" ht="15" hidden="false" customHeight="false" outlineLevel="0" collapsed="false">
      <c r="A150" s="2" t="s">
        <v>658</v>
      </c>
      <c r="B150" s="2" t="n">
        <v>9</v>
      </c>
      <c r="C150" s="2" t="s">
        <v>654</v>
      </c>
      <c r="D150" s="2" t="s">
        <v>659</v>
      </c>
      <c r="E150" s="3" t="s">
        <v>660</v>
      </c>
      <c r="F150" s="3" t="s">
        <v>661</v>
      </c>
      <c r="G150" s="3" t="s">
        <v>662</v>
      </c>
      <c r="H150" s="2" t="s">
        <v>112</v>
      </c>
      <c r="I150" s="4" t="n">
        <v>0.035758</v>
      </c>
      <c r="J150" s="5"/>
      <c r="K150" s="2" t="str">
        <f aca="false">IF(OR(J150="",I150=""),"",IF(ABS(J150-I150)&lt;=MAX(0.0001,ABS(I150)*0.0001),"MATCH","CHECK"))</f>
        <v/>
      </c>
      <c r="L150" s="2"/>
      <c r="M150" s="2"/>
    </row>
    <row r="151" customFormat="false" ht="15" hidden="false" customHeight="false" outlineLevel="0" collapsed="false">
      <c r="A151" s="2" t="s">
        <v>663</v>
      </c>
      <c r="B151" s="2" t="n">
        <v>9</v>
      </c>
      <c r="C151" s="2" t="s">
        <v>654</v>
      </c>
      <c r="D151" s="2" t="s">
        <v>664</v>
      </c>
      <c r="E151" s="3" t="s">
        <v>665</v>
      </c>
      <c r="F151" s="3" t="s">
        <v>666</v>
      </c>
      <c r="G151" s="3" t="s">
        <v>655</v>
      </c>
      <c r="H151" s="2" t="s">
        <v>18</v>
      </c>
      <c r="I151" s="4" t="n">
        <v>2792098.27</v>
      </c>
      <c r="J151" s="5"/>
      <c r="K151" s="2" t="str">
        <f aca="false">IF(OR(J151="",I151=""),"",IF(ABS(J151-I151)&lt;=MAX(0.0001,ABS(I151)*0.0001),"MATCH","CHECK"))</f>
        <v/>
      </c>
      <c r="L151" s="2"/>
      <c r="M151" s="2"/>
    </row>
    <row r="152" customFormat="false" ht="15" hidden="false" customHeight="false" outlineLevel="0" collapsed="false">
      <c r="A152" s="2" t="s">
        <v>667</v>
      </c>
      <c r="B152" s="2" t="n">
        <v>9</v>
      </c>
      <c r="C152" s="2" t="s">
        <v>654</v>
      </c>
      <c r="D152" s="2" t="s">
        <v>668</v>
      </c>
      <c r="E152" s="3" t="s">
        <v>669</v>
      </c>
      <c r="F152" s="3" t="s">
        <v>670</v>
      </c>
      <c r="G152" s="3" t="s">
        <v>655</v>
      </c>
      <c r="H152" s="2" t="s">
        <v>18</v>
      </c>
      <c r="I152" s="4" t="n">
        <v>1648395.03</v>
      </c>
      <c r="J152" s="5"/>
      <c r="K152" s="2" t="str">
        <f aca="false">IF(OR(J152="",I152=""),"",IF(ABS(J152-I152)&lt;=MAX(0.0001,ABS(I152)*0.0001),"MATCH","CHECK"))</f>
        <v/>
      </c>
      <c r="L152" s="2"/>
      <c r="M152" s="2"/>
    </row>
    <row r="153" customFormat="false" ht="15" hidden="false" customHeight="false" outlineLevel="0" collapsed="false">
      <c r="A153" s="2" t="s">
        <v>671</v>
      </c>
      <c r="B153" s="2" t="n">
        <v>9</v>
      </c>
      <c r="C153" s="2" t="s">
        <v>654</v>
      </c>
      <c r="D153" s="2" t="s">
        <v>672</v>
      </c>
      <c r="E153" s="3" t="s">
        <v>673</v>
      </c>
      <c r="F153" s="3" t="s">
        <v>674</v>
      </c>
      <c r="G153" s="3" t="s">
        <v>655</v>
      </c>
      <c r="H153" s="2" t="s">
        <v>18</v>
      </c>
      <c r="I153" s="4" t="n">
        <v>7222459.6</v>
      </c>
      <c r="J153" s="5"/>
      <c r="K153" s="2" t="str">
        <f aca="false">IF(OR(J153="",I153=""),"",IF(ABS(J153-I153)&lt;=MAX(0.0001,ABS(I153)*0.0001),"MATCH","CHECK"))</f>
        <v/>
      </c>
      <c r="L153" s="2"/>
      <c r="M153" s="2"/>
    </row>
    <row r="154" customFormat="false" ht="15" hidden="false" customHeight="false" outlineLevel="0" collapsed="false">
      <c r="A154" s="2" t="s">
        <v>675</v>
      </c>
      <c r="B154" s="2" t="n">
        <v>9</v>
      </c>
      <c r="C154" s="2" t="s">
        <v>654</v>
      </c>
      <c r="D154" s="2" t="s">
        <v>676</v>
      </c>
      <c r="E154" s="3" t="s">
        <v>677</v>
      </c>
      <c r="F154" s="3" t="s">
        <v>678</v>
      </c>
      <c r="G154" s="3" t="s">
        <v>30</v>
      </c>
      <c r="H154" s="2" t="s">
        <v>18</v>
      </c>
      <c r="I154" s="4"/>
      <c r="J154" s="5"/>
      <c r="K154" s="2"/>
      <c r="L154" s="2"/>
      <c r="M154" s="2"/>
    </row>
    <row r="155" customFormat="false" ht="15" hidden="false" customHeight="false" outlineLevel="0" collapsed="false">
      <c r="A155" s="2" t="s">
        <v>679</v>
      </c>
      <c r="B155" s="2" t="n">
        <v>9</v>
      </c>
      <c r="C155" s="2" t="s">
        <v>654</v>
      </c>
      <c r="D155" s="2" t="s">
        <v>680</v>
      </c>
      <c r="E155" s="3" t="s">
        <v>681</v>
      </c>
      <c r="F155" s="3" t="s">
        <v>682</v>
      </c>
      <c r="G155" s="3" t="s">
        <v>30</v>
      </c>
      <c r="H155" s="2" t="s">
        <v>18</v>
      </c>
      <c r="I155" s="4"/>
      <c r="J155" s="5"/>
      <c r="K155" s="2"/>
      <c r="L155" s="2"/>
      <c r="M155" s="2"/>
    </row>
    <row r="156" customFormat="false" ht="15" hidden="false" customHeight="false" outlineLevel="0" collapsed="false">
      <c r="A156" s="2" t="s">
        <v>683</v>
      </c>
      <c r="B156" s="2" t="n">
        <v>9</v>
      </c>
      <c r="C156" s="2" t="s">
        <v>654</v>
      </c>
      <c r="D156" s="2" t="s">
        <v>684</v>
      </c>
      <c r="E156" s="3" t="s">
        <v>685</v>
      </c>
      <c r="F156" s="3" t="s">
        <v>686</v>
      </c>
      <c r="G156" s="3" t="s">
        <v>30</v>
      </c>
      <c r="H156" s="2" t="s">
        <v>18</v>
      </c>
      <c r="I156" s="4"/>
      <c r="J156" s="5"/>
      <c r="K156" s="2"/>
      <c r="L156" s="2"/>
      <c r="M156" s="2"/>
    </row>
    <row r="157" customFormat="false" ht="15" hidden="false" customHeight="false" outlineLevel="0" collapsed="false">
      <c r="A157" s="2" t="s">
        <v>687</v>
      </c>
      <c r="B157" s="2" t="n">
        <v>9</v>
      </c>
      <c r="C157" s="2" t="s">
        <v>654</v>
      </c>
      <c r="D157" s="2" t="s">
        <v>688</v>
      </c>
      <c r="E157" s="3" t="s">
        <v>689</v>
      </c>
      <c r="F157" s="3" t="s">
        <v>690</v>
      </c>
      <c r="G157" s="3" t="s">
        <v>30</v>
      </c>
      <c r="H157" s="2" t="s">
        <v>28</v>
      </c>
      <c r="I157" s="4"/>
      <c r="J157" s="5"/>
      <c r="K157" s="2"/>
      <c r="L157" s="2"/>
      <c r="M157" s="2"/>
    </row>
    <row r="158" customFormat="false" ht="23.85" hidden="false" customHeight="false" outlineLevel="0" collapsed="false">
      <c r="A158" s="2" t="s">
        <v>691</v>
      </c>
      <c r="B158" s="2" t="n">
        <v>9</v>
      </c>
      <c r="C158" s="2" t="s">
        <v>654</v>
      </c>
      <c r="D158" s="2" t="s">
        <v>692</v>
      </c>
      <c r="E158" s="3" t="s">
        <v>693</v>
      </c>
      <c r="F158" s="3" t="s">
        <v>694</v>
      </c>
      <c r="G158" s="3" t="s">
        <v>30</v>
      </c>
      <c r="H158" s="2" t="s">
        <v>112</v>
      </c>
      <c r="I158" s="4"/>
      <c r="J158" s="5"/>
      <c r="K158" s="2"/>
      <c r="L158" s="2"/>
      <c r="M158" s="2"/>
    </row>
    <row r="159" customFormat="false" ht="23.85" hidden="false" customHeight="false" outlineLevel="0" collapsed="false">
      <c r="A159" s="2" t="s">
        <v>695</v>
      </c>
      <c r="B159" s="2" t="n">
        <v>9</v>
      </c>
      <c r="C159" s="2" t="s">
        <v>654</v>
      </c>
      <c r="D159" s="2" t="s">
        <v>696</v>
      </c>
      <c r="E159" s="3" t="s">
        <v>697</v>
      </c>
      <c r="F159" s="3" t="s">
        <v>698</v>
      </c>
      <c r="G159" s="3" t="s">
        <v>30</v>
      </c>
      <c r="H159" s="2" t="s">
        <v>28</v>
      </c>
      <c r="I159" s="4"/>
      <c r="J159" s="5"/>
      <c r="K159" s="2"/>
      <c r="L159" s="2"/>
      <c r="M159" s="2"/>
    </row>
    <row r="160" customFormat="false" ht="23.85" hidden="false" customHeight="false" outlineLevel="0" collapsed="false">
      <c r="A160" s="2" t="s">
        <v>699</v>
      </c>
      <c r="B160" s="2" t="n">
        <v>9</v>
      </c>
      <c r="C160" s="2" t="s">
        <v>654</v>
      </c>
      <c r="D160" s="2" t="s">
        <v>700</v>
      </c>
      <c r="E160" s="3" t="s">
        <v>701</v>
      </c>
      <c r="F160" s="3" t="s">
        <v>702</v>
      </c>
      <c r="G160" s="3"/>
      <c r="H160" s="2" t="s">
        <v>18</v>
      </c>
      <c r="I160" s="4"/>
      <c r="J160" s="5"/>
      <c r="K160" s="2"/>
      <c r="L160" s="2"/>
      <c r="M160" s="2"/>
    </row>
    <row r="161" customFormat="false" ht="23.85" hidden="false" customHeight="false" outlineLevel="0" collapsed="false">
      <c r="A161" s="2" t="s">
        <v>703</v>
      </c>
      <c r="B161" s="2" t="n">
        <v>9</v>
      </c>
      <c r="C161" s="2" t="s">
        <v>654</v>
      </c>
      <c r="D161" s="2" t="s">
        <v>704</v>
      </c>
      <c r="E161" s="3" t="s">
        <v>705</v>
      </c>
      <c r="F161" s="3" t="s">
        <v>706</v>
      </c>
      <c r="G161" s="3" t="s">
        <v>707</v>
      </c>
      <c r="H161" s="2" t="s">
        <v>18</v>
      </c>
      <c r="I161" s="4"/>
      <c r="J161" s="5"/>
      <c r="K161" s="2"/>
      <c r="L161" s="2"/>
      <c r="M161" s="2"/>
    </row>
    <row r="162" customFormat="false" ht="23.85" hidden="false" customHeight="false" outlineLevel="0" collapsed="false">
      <c r="A162" s="2" t="s">
        <v>708</v>
      </c>
      <c r="B162" s="2" t="n">
        <v>9</v>
      </c>
      <c r="C162" s="2" t="s">
        <v>709</v>
      </c>
      <c r="D162" s="2" t="s">
        <v>710</v>
      </c>
      <c r="E162" s="3" t="s">
        <v>711</v>
      </c>
      <c r="F162" s="3" t="s">
        <v>712</v>
      </c>
      <c r="G162" s="3"/>
      <c r="H162" s="2" t="s">
        <v>28</v>
      </c>
      <c r="I162" s="4" t="n">
        <v>0.310897</v>
      </c>
      <c r="J162" s="5"/>
      <c r="K162" s="2" t="str">
        <f aca="false">IF(OR(J162="",I162=""),"",IF(ABS(J162-I162)&lt;=MAX(0.0001,ABS(I162)*0.0001),"MATCH","CHECK"))</f>
        <v/>
      </c>
      <c r="L162" s="2"/>
      <c r="M162" s="2"/>
    </row>
    <row r="163" customFormat="false" ht="23.85" hidden="false" customHeight="false" outlineLevel="0" collapsed="false">
      <c r="A163" s="2" t="s">
        <v>713</v>
      </c>
      <c r="B163" s="2" t="n">
        <v>9</v>
      </c>
      <c r="C163" s="2" t="s">
        <v>709</v>
      </c>
      <c r="D163" s="2" t="s">
        <v>714</v>
      </c>
      <c r="E163" s="3" t="s">
        <v>715</v>
      </c>
      <c r="F163" s="3" t="s">
        <v>716</v>
      </c>
      <c r="G163" s="3"/>
      <c r="H163" s="2" t="s">
        <v>28</v>
      </c>
      <c r="I163" s="4" t="n">
        <v>0.41472</v>
      </c>
      <c r="J163" s="5"/>
      <c r="K163" s="2" t="str">
        <f aca="false">IF(OR(J163="",I163=""),"",IF(ABS(J163-I163)&lt;=MAX(0.0001,ABS(I163)*0.0001),"MATCH","CHECK"))</f>
        <v/>
      </c>
      <c r="L163" s="2"/>
      <c r="M163" s="2"/>
    </row>
    <row r="164" customFormat="false" ht="23.85" hidden="false" customHeight="false" outlineLevel="0" collapsed="false">
      <c r="A164" s="2" t="s">
        <v>717</v>
      </c>
      <c r="B164" s="2" t="n">
        <v>9</v>
      </c>
      <c r="C164" s="2" t="s">
        <v>709</v>
      </c>
      <c r="D164" s="2" t="s">
        <v>718</v>
      </c>
      <c r="E164" s="3" t="s">
        <v>719</v>
      </c>
      <c r="F164" s="3" t="s">
        <v>720</v>
      </c>
      <c r="G164" s="3"/>
      <c r="H164" s="2" t="s">
        <v>28</v>
      </c>
      <c r="I164" s="4"/>
      <c r="J164" s="5"/>
      <c r="K164" s="2"/>
      <c r="L164" s="2"/>
      <c r="M164" s="2"/>
    </row>
    <row r="165" customFormat="false" ht="23.85" hidden="false" customHeight="false" outlineLevel="0" collapsed="false">
      <c r="A165" s="2" t="s">
        <v>721</v>
      </c>
      <c r="B165" s="2" t="n">
        <v>9</v>
      </c>
      <c r="C165" s="2" t="s">
        <v>722</v>
      </c>
      <c r="D165" s="2" t="s">
        <v>723</v>
      </c>
      <c r="E165" s="3" t="s">
        <v>724</v>
      </c>
      <c r="F165" s="3" t="s">
        <v>725</v>
      </c>
      <c r="G165" s="3"/>
      <c r="H165" s="2" t="s">
        <v>28</v>
      </c>
      <c r="I165" s="4"/>
      <c r="J165" s="5"/>
      <c r="K165" s="2"/>
      <c r="L165" s="2"/>
      <c r="M165" s="2"/>
    </row>
    <row r="166" customFormat="false" ht="23.85" hidden="false" customHeight="false" outlineLevel="0" collapsed="false">
      <c r="A166" s="2" t="s">
        <v>726</v>
      </c>
      <c r="B166" s="2" t="n">
        <v>9</v>
      </c>
      <c r="C166" s="2" t="s">
        <v>722</v>
      </c>
      <c r="D166" s="2" t="s">
        <v>727</v>
      </c>
      <c r="E166" s="3" t="s">
        <v>728</v>
      </c>
      <c r="F166" s="3" t="s">
        <v>729</v>
      </c>
      <c r="G166" s="3"/>
      <c r="H166" s="2" t="s">
        <v>28</v>
      </c>
      <c r="I166" s="4"/>
      <c r="J166" s="5"/>
      <c r="K166" s="2"/>
      <c r="L166" s="2"/>
      <c r="M166" s="2"/>
    </row>
    <row r="167" customFormat="false" ht="23.85" hidden="false" customHeight="false" outlineLevel="0" collapsed="false">
      <c r="A167" s="2" t="s">
        <v>730</v>
      </c>
      <c r="B167" s="2" t="n">
        <v>9</v>
      </c>
      <c r="C167" s="2" t="s">
        <v>722</v>
      </c>
      <c r="D167" s="2" t="s">
        <v>731</v>
      </c>
      <c r="E167" s="3" t="s">
        <v>732</v>
      </c>
      <c r="F167" s="3" t="s">
        <v>733</v>
      </c>
      <c r="G167" s="3"/>
      <c r="H167" s="2" t="s">
        <v>28</v>
      </c>
      <c r="I167" s="4"/>
      <c r="J167" s="5"/>
      <c r="K167" s="2"/>
      <c r="L167" s="2"/>
      <c r="M167" s="2"/>
    </row>
    <row r="168" customFormat="false" ht="23.85" hidden="false" customHeight="false" outlineLevel="0" collapsed="false">
      <c r="A168" s="2" t="s">
        <v>734</v>
      </c>
      <c r="B168" s="2" t="n">
        <v>9</v>
      </c>
      <c r="C168" s="2" t="s">
        <v>722</v>
      </c>
      <c r="D168" s="2" t="s">
        <v>735</v>
      </c>
      <c r="E168" s="3" t="s">
        <v>736</v>
      </c>
      <c r="F168" s="3" t="s">
        <v>737</v>
      </c>
      <c r="G168" s="3"/>
      <c r="H168" s="2" t="s">
        <v>28</v>
      </c>
      <c r="I168" s="4"/>
      <c r="J168" s="5"/>
      <c r="K168" s="2"/>
      <c r="L168" s="2"/>
      <c r="M168" s="2"/>
    </row>
    <row r="169" customFormat="false" ht="23.85" hidden="false" customHeight="false" outlineLevel="0" collapsed="false">
      <c r="A169" s="2" t="s">
        <v>738</v>
      </c>
      <c r="B169" s="2" t="n">
        <v>9</v>
      </c>
      <c r="C169" s="2" t="s">
        <v>722</v>
      </c>
      <c r="D169" s="2" t="s">
        <v>739</v>
      </c>
      <c r="E169" s="3" t="s">
        <v>740</v>
      </c>
      <c r="F169" s="3" t="s">
        <v>741</v>
      </c>
      <c r="G169" s="3"/>
      <c r="H169" s="2" t="s">
        <v>289</v>
      </c>
      <c r="I169" s="4"/>
      <c r="J169" s="5"/>
      <c r="K169" s="2"/>
      <c r="L169" s="2"/>
      <c r="M169" s="2"/>
    </row>
    <row r="170" customFormat="false" ht="169.4" hidden="false" customHeight="false" outlineLevel="0" collapsed="false">
      <c r="A170" s="2" t="s">
        <v>742</v>
      </c>
      <c r="B170" s="2" t="n">
        <v>9</v>
      </c>
      <c r="C170" s="2" t="s">
        <v>743</v>
      </c>
      <c r="D170" s="2" t="s">
        <v>744</v>
      </c>
      <c r="E170" s="3" t="s">
        <v>745</v>
      </c>
      <c r="F170" s="3" t="s">
        <v>746</v>
      </c>
      <c r="G170" s="3" t="s">
        <v>731</v>
      </c>
      <c r="H170" s="2" t="s">
        <v>18</v>
      </c>
      <c r="I170" s="4" t="n">
        <v>29455420.89</v>
      </c>
      <c r="J170" s="5"/>
      <c r="K170" s="2" t="str">
        <f aca="false">IF(OR(J170="",I170=""),"",IF(ABS(J170-I170)&lt;=MAX(0.0001,ABS(I170)*0.0001),"MATCH","CHECK"))</f>
        <v/>
      </c>
      <c r="L170" s="2"/>
      <c r="M170" s="2"/>
    </row>
    <row r="171" customFormat="false" ht="15" hidden="false" customHeight="false" outlineLevel="0" collapsed="false">
      <c r="A171" s="2" t="s">
        <v>747</v>
      </c>
      <c r="B171" s="2" t="n">
        <v>9</v>
      </c>
      <c r="C171" s="2" t="s">
        <v>743</v>
      </c>
      <c r="D171" s="2" t="s">
        <v>748</v>
      </c>
      <c r="E171" s="3" t="s">
        <v>749</v>
      </c>
      <c r="F171" s="3" t="s">
        <v>750</v>
      </c>
      <c r="G171" s="3" t="s">
        <v>751</v>
      </c>
      <c r="H171" s="2" t="s">
        <v>28</v>
      </c>
      <c r="I171" s="4"/>
      <c r="J171" s="5"/>
      <c r="K171" s="2"/>
      <c r="L171" s="2"/>
      <c r="M171" s="2"/>
    </row>
    <row r="172" customFormat="false" ht="15" hidden="false" customHeight="false" outlineLevel="0" collapsed="false">
      <c r="A172" s="2" t="s">
        <v>752</v>
      </c>
      <c r="B172" s="2" t="n">
        <v>9</v>
      </c>
      <c r="C172" s="2" t="s">
        <v>753</v>
      </c>
      <c r="D172" s="2" t="s">
        <v>754</v>
      </c>
      <c r="E172" s="3" t="s">
        <v>755</v>
      </c>
      <c r="F172" s="3" t="s">
        <v>756</v>
      </c>
      <c r="G172" s="3"/>
      <c r="H172" s="2" t="s">
        <v>138</v>
      </c>
      <c r="I172" s="4"/>
      <c r="J172" s="5"/>
      <c r="K172" s="2"/>
      <c r="L172" s="2"/>
      <c r="M172" s="2"/>
    </row>
    <row r="173" customFormat="false" ht="15" hidden="false" customHeight="false" outlineLevel="0" collapsed="false">
      <c r="A173" s="2" t="s">
        <v>757</v>
      </c>
      <c r="B173" s="2" t="n">
        <v>9</v>
      </c>
      <c r="C173" s="2" t="s">
        <v>753</v>
      </c>
      <c r="D173" s="2" t="s">
        <v>758</v>
      </c>
      <c r="E173" s="3" t="s">
        <v>759</v>
      </c>
      <c r="F173" s="3" t="s">
        <v>760</v>
      </c>
      <c r="G173" s="3"/>
      <c r="H173" s="2" t="s">
        <v>138</v>
      </c>
      <c r="I173" s="4"/>
      <c r="J173" s="5"/>
      <c r="K173" s="2"/>
      <c r="L173" s="2"/>
      <c r="M173" s="2"/>
    </row>
    <row r="174" customFormat="false" ht="191.75" hidden="false" customHeight="false" outlineLevel="0" collapsed="false">
      <c r="A174" s="2" t="s">
        <v>761</v>
      </c>
      <c r="B174" s="2" t="n">
        <v>9</v>
      </c>
      <c r="C174" s="2" t="s">
        <v>753</v>
      </c>
      <c r="D174" s="2" t="s">
        <v>762</v>
      </c>
      <c r="E174" s="3" t="s">
        <v>763</v>
      </c>
      <c r="F174" s="3" t="s">
        <v>764</v>
      </c>
      <c r="G174" s="3" t="s">
        <v>765</v>
      </c>
      <c r="H174" s="2" t="s">
        <v>18</v>
      </c>
      <c r="I174" s="4"/>
      <c r="J174" s="5"/>
      <c r="K174" s="2"/>
      <c r="L174" s="2"/>
      <c r="M174" s="2"/>
    </row>
    <row r="175" customFormat="false" ht="15" hidden="false" customHeight="false" outlineLevel="0" collapsed="false">
      <c r="A175" s="2" t="s">
        <v>766</v>
      </c>
      <c r="B175" s="2" t="n">
        <v>10</v>
      </c>
      <c r="C175" s="2" t="s">
        <v>767</v>
      </c>
      <c r="D175" s="2" t="s">
        <v>768</v>
      </c>
      <c r="E175" s="3" t="s">
        <v>769</v>
      </c>
      <c r="F175" s="3" t="s">
        <v>770</v>
      </c>
      <c r="G175" s="3"/>
      <c r="H175" s="2" t="s">
        <v>117</v>
      </c>
      <c r="I175" s="4"/>
      <c r="J175" s="5"/>
      <c r="K175" s="2"/>
      <c r="L175" s="2"/>
      <c r="M175" s="2"/>
    </row>
    <row r="176" customFormat="false" ht="15" hidden="false" customHeight="false" outlineLevel="0" collapsed="false">
      <c r="A176" s="2" t="s">
        <v>771</v>
      </c>
      <c r="B176" s="2" t="n">
        <v>10</v>
      </c>
      <c r="C176" s="2" t="s">
        <v>767</v>
      </c>
      <c r="D176" s="2" t="s">
        <v>772</v>
      </c>
      <c r="E176" s="3" t="s">
        <v>773</v>
      </c>
      <c r="F176" s="3" t="s">
        <v>774</v>
      </c>
      <c r="G176" s="3"/>
      <c r="H176" s="2" t="s">
        <v>775</v>
      </c>
      <c r="I176" s="4"/>
      <c r="J176" s="5"/>
      <c r="K176" s="2"/>
      <c r="L176" s="2"/>
      <c r="M176" s="2"/>
    </row>
    <row r="177" customFormat="false" ht="15" hidden="false" customHeight="false" outlineLevel="0" collapsed="false">
      <c r="A177" s="2" t="s">
        <v>776</v>
      </c>
      <c r="B177" s="2" t="n">
        <v>10</v>
      </c>
      <c r="C177" s="2" t="s">
        <v>767</v>
      </c>
      <c r="D177" s="2" t="s">
        <v>777</v>
      </c>
      <c r="E177" s="3" t="s">
        <v>778</v>
      </c>
      <c r="F177" s="3" t="s">
        <v>779</v>
      </c>
      <c r="G177" s="3"/>
      <c r="H177" s="2" t="s">
        <v>775</v>
      </c>
      <c r="I177" s="4"/>
      <c r="J177" s="5"/>
      <c r="K177" s="2"/>
      <c r="L177" s="2"/>
      <c r="M177" s="2"/>
    </row>
    <row r="178" customFormat="false" ht="15" hidden="false" customHeight="false" outlineLevel="0" collapsed="false">
      <c r="A178" s="2" t="s">
        <v>780</v>
      </c>
      <c r="B178" s="2" t="n">
        <v>10</v>
      </c>
      <c r="C178" s="2" t="s">
        <v>767</v>
      </c>
      <c r="D178" s="2" t="s">
        <v>781</v>
      </c>
      <c r="E178" s="3" t="s">
        <v>782</v>
      </c>
      <c r="F178" s="3" t="s">
        <v>783</v>
      </c>
      <c r="G178" s="3"/>
      <c r="H178" s="2" t="s">
        <v>138</v>
      </c>
      <c r="I178" s="4"/>
      <c r="J178" s="5"/>
      <c r="K178" s="2"/>
      <c r="L178" s="2"/>
      <c r="M178" s="2"/>
    </row>
    <row r="179" customFormat="false" ht="23.85" hidden="false" customHeight="false" outlineLevel="0" collapsed="false">
      <c r="A179" s="2" t="s">
        <v>784</v>
      </c>
      <c r="B179" s="2" t="n">
        <v>10</v>
      </c>
      <c r="C179" s="2" t="s">
        <v>767</v>
      </c>
      <c r="D179" s="2" t="s">
        <v>785</v>
      </c>
      <c r="E179" s="3" t="s">
        <v>786</v>
      </c>
      <c r="F179" s="3" t="s">
        <v>787</v>
      </c>
      <c r="G179" s="3" t="s">
        <v>788</v>
      </c>
      <c r="H179" s="2" t="s">
        <v>289</v>
      </c>
      <c r="I179" s="4"/>
      <c r="J179" s="5"/>
      <c r="K179" s="2"/>
      <c r="L179" s="2"/>
      <c r="M179" s="2"/>
    </row>
    <row r="180" customFormat="false" ht="79.85" hidden="false" customHeight="false" outlineLevel="0" collapsed="false">
      <c r="A180" s="2" t="s">
        <v>789</v>
      </c>
      <c r="B180" s="2" t="n">
        <v>10</v>
      </c>
      <c r="C180" s="2" t="s">
        <v>767</v>
      </c>
      <c r="D180" s="2" t="s">
        <v>790</v>
      </c>
      <c r="E180" s="3" t="s">
        <v>791</v>
      </c>
      <c r="F180" s="3" t="s">
        <v>792</v>
      </c>
      <c r="G180" s="3" t="s">
        <v>793</v>
      </c>
      <c r="H180" s="2" t="s">
        <v>18</v>
      </c>
      <c r="I180" s="4"/>
      <c r="J180" s="5"/>
      <c r="K180" s="2"/>
      <c r="L180" s="2"/>
      <c r="M180" s="2"/>
    </row>
    <row r="181" customFormat="false" ht="15" hidden="false" customHeight="false" outlineLevel="0" collapsed="false">
      <c r="A181" s="2" t="s">
        <v>794</v>
      </c>
      <c r="B181" s="2" t="n">
        <v>10</v>
      </c>
      <c r="C181" s="2" t="s">
        <v>767</v>
      </c>
      <c r="D181" s="2" t="s">
        <v>795</v>
      </c>
      <c r="E181" s="3" t="s">
        <v>796</v>
      </c>
      <c r="F181" s="3" t="s">
        <v>797</v>
      </c>
      <c r="G181" s="3" t="s">
        <v>798</v>
      </c>
      <c r="H181" s="2" t="s">
        <v>18</v>
      </c>
      <c r="I181" s="4"/>
      <c r="J181" s="5"/>
      <c r="K181" s="2"/>
      <c r="L181" s="2"/>
      <c r="M181" s="2"/>
    </row>
    <row r="182" customFormat="false" ht="15" hidden="false" customHeight="false" outlineLevel="0" collapsed="false">
      <c r="A182" s="2" t="s">
        <v>799</v>
      </c>
      <c r="B182" s="2" t="n">
        <v>10</v>
      </c>
      <c r="C182" s="2" t="s">
        <v>767</v>
      </c>
      <c r="D182" s="2" t="s">
        <v>800</v>
      </c>
      <c r="E182" s="3" t="s">
        <v>801</v>
      </c>
      <c r="F182" s="3" t="s">
        <v>802</v>
      </c>
      <c r="G182" s="3" t="s">
        <v>803</v>
      </c>
      <c r="H182" s="2" t="s">
        <v>28</v>
      </c>
      <c r="I182" s="4"/>
      <c r="J182" s="5"/>
      <c r="K182" s="2"/>
      <c r="L182" s="2"/>
      <c r="M182" s="2"/>
    </row>
    <row r="183" customFormat="false" ht="15" hidden="false" customHeight="false" outlineLevel="0" collapsed="false">
      <c r="A183" s="2" t="s">
        <v>804</v>
      </c>
      <c r="B183" s="2" t="n">
        <v>10</v>
      </c>
      <c r="C183" s="2" t="s">
        <v>767</v>
      </c>
      <c r="D183" s="2" t="s">
        <v>805</v>
      </c>
      <c r="E183" s="3" t="s">
        <v>806</v>
      </c>
      <c r="F183" s="3" t="s">
        <v>807</v>
      </c>
      <c r="G183" s="3" t="s">
        <v>808</v>
      </c>
      <c r="H183" s="2" t="s">
        <v>112</v>
      </c>
      <c r="I183" s="4"/>
      <c r="J183" s="5"/>
      <c r="K183" s="2"/>
      <c r="L183" s="2"/>
      <c r="M183" s="2"/>
    </row>
    <row r="184" customFormat="false" ht="46.25" hidden="false" customHeight="false" outlineLevel="0" collapsed="false">
      <c r="A184" s="2" t="s">
        <v>809</v>
      </c>
      <c r="B184" s="2" t="n">
        <v>10</v>
      </c>
      <c r="C184" s="2" t="s">
        <v>810</v>
      </c>
      <c r="D184" s="2" t="s">
        <v>811</v>
      </c>
      <c r="E184" s="3" t="s">
        <v>812</v>
      </c>
      <c r="F184" s="3" t="s">
        <v>813</v>
      </c>
      <c r="G184" s="3"/>
      <c r="H184" s="2" t="s">
        <v>18</v>
      </c>
      <c r="I184" s="4"/>
      <c r="J184" s="5"/>
      <c r="K184" s="2"/>
      <c r="L184" s="2"/>
      <c r="M184" s="2"/>
    </row>
    <row r="185" customFormat="false" ht="15" hidden="false" customHeight="false" outlineLevel="0" collapsed="false">
      <c r="A185" s="2" t="s">
        <v>814</v>
      </c>
      <c r="B185" s="2" t="n">
        <v>10</v>
      </c>
      <c r="C185" s="2" t="s">
        <v>810</v>
      </c>
      <c r="D185" s="2" t="s">
        <v>815</v>
      </c>
      <c r="E185" s="3" t="s">
        <v>816</v>
      </c>
      <c r="F185" s="3" t="s">
        <v>817</v>
      </c>
      <c r="G185" s="3" t="s">
        <v>811</v>
      </c>
      <c r="H185" s="2" t="s">
        <v>18</v>
      </c>
      <c r="I185" s="4"/>
      <c r="J185" s="5"/>
      <c r="K185" s="2"/>
      <c r="L185" s="2"/>
      <c r="M185" s="2"/>
    </row>
    <row r="186" customFormat="false" ht="23.85" hidden="false" customHeight="false" outlineLevel="0" collapsed="false">
      <c r="A186" s="2" t="s">
        <v>818</v>
      </c>
      <c r="B186" s="2" t="n">
        <v>10</v>
      </c>
      <c r="C186" s="2" t="s">
        <v>810</v>
      </c>
      <c r="D186" s="2" t="s">
        <v>819</v>
      </c>
      <c r="E186" s="3" t="s">
        <v>820</v>
      </c>
      <c r="F186" s="3" t="s">
        <v>821</v>
      </c>
      <c r="G186" s="3" t="s">
        <v>822</v>
      </c>
      <c r="H186" s="2" t="s">
        <v>18</v>
      </c>
      <c r="I186" s="4"/>
      <c r="J186" s="5"/>
      <c r="K186" s="2"/>
      <c r="L186" s="2"/>
      <c r="M186" s="2"/>
    </row>
    <row r="187" customFormat="false" ht="35.05" hidden="false" customHeight="false" outlineLevel="0" collapsed="false">
      <c r="A187" s="2" t="s">
        <v>823</v>
      </c>
      <c r="B187" s="2" t="n">
        <v>10</v>
      </c>
      <c r="C187" s="2" t="s">
        <v>810</v>
      </c>
      <c r="D187" s="2" t="s">
        <v>824</v>
      </c>
      <c r="E187" s="3" t="s">
        <v>825</v>
      </c>
      <c r="F187" s="3" t="s">
        <v>826</v>
      </c>
      <c r="G187" s="3"/>
      <c r="H187" s="2" t="s">
        <v>112</v>
      </c>
      <c r="I187" s="4"/>
      <c r="J187" s="5"/>
      <c r="K187" s="2"/>
      <c r="L187" s="2"/>
      <c r="M187" s="2"/>
    </row>
    <row r="188" customFormat="false" ht="15" hidden="false" customHeight="false" outlineLevel="0" collapsed="false">
      <c r="A188" s="2" t="s">
        <v>827</v>
      </c>
      <c r="B188" s="2" t="n">
        <v>10</v>
      </c>
      <c r="C188" s="2" t="s">
        <v>810</v>
      </c>
      <c r="D188" s="2" t="s">
        <v>828</v>
      </c>
      <c r="E188" s="3" t="s">
        <v>829</v>
      </c>
      <c r="F188" s="3" t="s">
        <v>830</v>
      </c>
      <c r="G188" s="3" t="s">
        <v>421</v>
      </c>
      <c r="H188" s="2" t="s">
        <v>18</v>
      </c>
      <c r="I188" s="4"/>
      <c r="J188" s="5"/>
      <c r="K188" s="2"/>
      <c r="L188" s="2"/>
      <c r="M188" s="2"/>
    </row>
    <row r="189" customFormat="false" ht="15" hidden="false" customHeight="false" outlineLevel="0" collapsed="false">
      <c r="A189" s="2" t="s">
        <v>831</v>
      </c>
      <c r="B189" s="2" t="n">
        <v>10</v>
      </c>
      <c r="C189" s="2" t="s">
        <v>810</v>
      </c>
      <c r="D189" s="2" t="s">
        <v>832</v>
      </c>
      <c r="E189" s="3" t="s">
        <v>833</v>
      </c>
      <c r="F189" s="3" t="s">
        <v>834</v>
      </c>
      <c r="G189" s="3" t="s">
        <v>421</v>
      </c>
      <c r="H189" s="2" t="s">
        <v>18</v>
      </c>
      <c r="I189" s="4"/>
      <c r="J189" s="5"/>
      <c r="K189" s="2"/>
      <c r="L189" s="2"/>
      <c r="M189" s="2"/>
    </row>
    <row r="190" customFormat="false" ht="15" hidden="false" customHeight="false" outlineLevel="0" collapsed="false">
      <c r="A190" s="2" t="s">
        <v>835</v>
      </c>
      <c r="B190" s="2" t="n">
        <v>10</v>
      </c>
      <c r="C190" s="2" t="s">
        <v>810</v>
      </c>
      <c r="D190" s="2" t="s">
        <v>836</v>
      </c>
      <c r="E190" s="3" t="s">
        <v>837</v>
      </c>
      <c r="F190" s="3" t="s">
        <v>838</v>
      </c>
      <c r="G190" s="3" t="s">
        <v>425</v>
      </c>
      <c r="H190" s="2" t="s">
        <v>28</v>
      </c>
      <c r="I190" s="4"/>
      <c r="J190" s="5"/>
      <c r="K190" s="2"/>
      <c r="L190" s="2"/>
      <c r="M190" s="2"/>
    </row>
    <row r="191" customFormat="false" ht="15" hidden="false" customHeight="false" outlineLevel="0" collapsed="false">
      <c r="A191" s="2" t="s">
        <v>839</v>
      </c>
      <c r="B191" s="2" t="n">
        <v>10</v>
      </c>
      <c r="C191" s="2" t="s">
        <v>810</v>
      </c>
      <c r="D191" s="2" t="s">
        <v>840</v>
      </c>
      <c r="E191" s="3" t="s">
        <v>841</v>
      </c>
      <c r="F191" s="3" t="s">
        <v>842</v>
      </c>
      <c r="G191" s="3" t="s">
        <v>425</v>
      </c>
      <c r="H191" s="2" t="s">
        <v>28</v>
      </c>
      <c r="I191" s="4"/>
      <c r="J191" s="5"/>
      <c r="K191" s="2"/>
      <c r="L191" s="2"/>
      <c r="M191" s="2"/>
    </row>
    <row r="192" customFormat="false" ht="15" hidden="false" customHeight="false" outlineLevel="0" collapsed="false">
      <c r="A192" s="2" t="s">
        <v>843</v>
      </c>
      <c r="B192" s="2" t="n">
        <v>10</v>
      </c>
      <c r="C192" s="2" t="s">
        <v>810</v>
      </c>
      <c r="D192" s="2" t="s">
        <v>844</v>
      </c>
      <c r="E192" s="3" t="s">
        <v>845</v>
      </c>
      <c r="F192" s="3" t="s">
        <v>846</v>
      </c>
      <c r="G192" s="3"/>
      <c r="H192" s="2" t="s">
        <v>393</v>
      </c>
      <c r="I192" s="4"/>
      <c r="J192" s="5"/>
      <c r="K192" s="2"/>
      <c r="L192" s="2"/>
      <c r="M192" s="2"/>
    </row>
    <row r="193" customFormat="false" ht="23.85" hidden="false" customHeight="false" outlineLevel="0" collapsed="false">
      <c r="A193" s="2" t="s">
        <v>847</v>
      </c>
      <c r="B193" s="2" t="n">
        <v>10</v>
      </c>
      <c r="C193" s="2" t="s">
        <v>810</v>
      </c>
      <c r="D193" s="2" t="s">
        <v>848</v>
      </c>
      <c r="E193" s="3" t="s">
        <v>849</v>
      </c>
      <c r="F193" s="3" t="s">
        <v>850</v>
      </c>
      <c r="G193" s="3" t="s">
        <v>851</v>
      </c>
      <c r="H193" s="2" t="s">
        <v>112</v>
      </c>
      <c r="I193" s="4"/>
      <c r="J193" s="5"/>
      <c r="K193" s="2"/>
      <c r="L193" s="2"/>
      <c r="M193" s="2"/>
    </row>
    <row r="194" customFormat="false" ht="15" hidden="false" customHeight="false" outlineLevel="0" collapsed="false">
      <c r="A194" s="2" t="s">
        <v>852</v>
      </c>
      <c r="B194" s="2" t="n">
        <v>10</v>
      </c>
      <c r="C194" s="2" t="s">
        <v>810</v>
      </c>
      <c r="D194" s="2" t="s">
        <v>853</v>
      </c>
      <c r="E194" s="3" t="s">
        <v>854</v>
      </c>
      <c r="F194" s="3" t="s">
        <v>855</v>
      </c>
      <c r="G194" s="3" t="s">
        <v>856</v>
      </c>
      <c r="H194" s="2" t="s">
        <v>393</v>
      </c>
      <c r="I194" s="4"/>
      <c r="J194" s="5"/>
      <c r="K194" s="2"/>
      <c r="L194" s="2"/>
      <c r="M194" s="2"/>
    </row>
    <row r="195" customFormat="false" ht="23.85" hidden="false" customHeight="false" outlineLevel="0" collapsed="false">
      <c r="A195" s="2" t="s">
        <v>857</v>
      </c>
      <c r="B195" s="2" t="n">
        <v>10</v>
      </c>
      <c r="C195" s="2" t="s">
        <v>858</v>
      </c>
      <c r="D195" s="2" t="s">
        <v>859</v>
      </c>
      <c r="E195" s="3" t="s">
        <v>860</v>
      </c>
      <c r="F195" s="3" t="s">
        <v>861</v>
      </c>
      <c r="G195" s="3"/>
      <c r="H195" s="2" t="s">
        <v>138</v>
      </c>
      <c r="I195" s="4"/>
      <c r="J195" s="5"/>
      <c r="K195" s="2"/>
      <c r="L195" s="2"/>
      <c r="M195" s="2"/>
    </row>
    <row r="196" customFormat="false" ht="23.85" hidden="false" customHeight="false" outlineLevel="0" collapsed="false">
      <c r="A196" s="2" t="s">
        <v>862</v>
      </c>
      <c r="B196" s="2" t="n">
        <v>10</v>
      </c>
      <c r="C196" s="2" t="s">
        <v>858</v>
      </c>
      <c r="D196" s="2" t="s">
        <v>863</v>
      </c>
      <c r="E196" s="3" t="s">
        <v>864</v>
      </c>
      <c r="F196" s="3" t="s">
        <v>865</v>
      </c>
      <c r="G196" s="3"/>
      <c r="H196" s="2" t="s">
        <v>138</v>
      </c>
      <c r="I196" s="4"/>
      <c r="J196" s="5"/>
      <c r="K196" s="2"/>
      <c r="L196" s="2"/>
      <c r="M196" s="2"/>
    </row>
    <row r="197" customFormat="false" ht="23.85" hidden="false" customHeight="false" outlineLevel="0" collapsed="false">
      <c r="A197" s="2" t="s">
        <v>866</v>
      </c>
      <c r="B197" s="2" t="n">
        <v>10</v>
      </c>
      <c r="C197" s="2" t="s">
        <v>858</v>
      </c>
      <c r="D197" s="2" t="s">
        <v>867</v>
      </c>
      <c r="E197" s="3" t="s">
        <v>868</v>
      </c>
      <c r="F197" s="3" t="s">
        <v>869</v>
      </c>
      <c r="G197" s="3"/>
      <c r="H197" s="2" t="s">
        <v>138</v>
      </c>
      <c r="I197" s="4"/>
      <c r="J197" s="5"/>
      <c r="K197" s="2"/>
      <c r="L197" s="2"/>
      <c r="M197" s="2"/>
    </row>
    <row r="198" customFormat="false" ht="23.85" hidden="false" customHeight="false" outlineLevel="0" collapsed="false">
      <c r="A198" s="2" t="s">
        <v>870</v>
      </c>
      <c r="B198" s="2" t="n">
        <v>10</v>
      </c>
      <c r="C198" s="2" t="s">
        <v>858</v>
      </c>
      <c r="D198" s="2" t="s">
        <v>871</v>
      </c>
      <c r="E198" s="3" t="s">
        <v>872</v>
      </c>
      <c r="F198" s="3" t="s">
        <v>873</v>
      </c>
      <c r="G198" s="3"/>
      <c r="H198" s="2" t="s">
        <v>138</v>
      </c>
      <c r="I198" s="4"/>
      <c r="J198" s="5"/>
      <c r="K198" s="2"/>
      <c r="L198" s="2"/>
      <c r="M198" s="2"/>
    </row>
    <row r="199" customFormat="false" ht="23.85" hidden="false" customHeight="false" outlineLevel="0" collapsed="false">
      <c r="A199" s="2" t="s">
        <v>874</v>
      </c>
      <c r="B199" s="2" t="n">
        <v>10</v>
      </c>
      <c r="C199" s="2" t="s">
        <v>858</v>
      </c>
      <c r="D199" s="2" t="s">
        <v>875</v>
      </c>
      <c r="E199" s="3" t="s">
        <v>876</v>
      </c>
      <c r="F199" s="3" t="s">
        <v>877</v>
      </c>
      <c r="G199" s="3"/>
      <c r="H199" s="2" t="s">
        <v>138</v>
      </c>
      <c r="I199" s="4"/>
      <c r="J199" s="5"/>
      <c r="K199" s="2"/>
      <c r="L199" s="2"/>
      <c r="M199" s="2"/>
    </row>
    <row r="200" customFormat="false" ht="23.85" hidden="false" customHeight="false" outlineLevel="0" collapsed="false">
      <c r="A200" s="2" t="s">
        <v>878</v>
      </c>
      <c r="B200" s="2" t="n">
        <v>10</v>
      </c>
      <c r="C200" s="2" t="s">
        <v>858</v>
      </c>
      <c r="D200" s="2" t="s">
        <v>879</v>
      </c>
      <c r="E200" s="3" t="s">
        <v>880</v>
      </c>
      <c r="F200" s="3" t="s">
        <v>881</v>
      </c>
      <c r="G200" s="3"/>
      <c r="H200" s="2" t="s">
        <v>138</v>
      </c>
      <c r="I200" s="4"/>
      <c r="J200" s="5"/>
      <c r="K200" s="2"/>
      <c r="L200" s="2"/>
      <c r="M200" s="2"/>
    </row>
    <row r="201" customFormat="false" ht="23.85" hidden="false" customHeight="false" outlineLevel="0" collapsed="false">
      <c r="A201" s="2" t="s">
        <v>882</v>
      </c>
      <c r="B201" s="2" t="n">
        <v>10</v>
      </c>
      <c r="C201" s="2" t="s">
        <v>858</v>
      </c>
      <c r="D201" s="2" t="s">
        <v>883</v>
      </c>
      <c r="E201" s="3" t="s">
        <v>884</v>
      </c>
      <c r="F201" s="3" t="s">
        <v>885</v>
      </c>
      <c r="G201" s="3"/>
      <c r="H201" s="2" t="s">
        <v>138</v>
      </c>
      <c r="I201" s="4"/>
      <c r="J201" s="5"/>
      <c r="K201" s="2"/>
      <c r="L201" s="2"/>
      <c r="M201" s="2"/>
    </row>
    <row r="202" customFormat="false" ht="23.85" hidden="false" customHeight="false" outlineLevel="0" collapsed="false">
      <c r="A202" s="2" t="s">
        <v>886</v>
      </c>
      <c r="B202" s="2" t="n">
        <v>10</v>
      </c>
      <c r="C202" s="2" t="s">
        <v>858</v>
      </c>
      <c r="D202" s="2" t="s">
        <v>887</v>
      </c>
      <c r="E202" s="3" t="s">
        <v>888</v>
      </c>
      <c r="F202" s="3" t="s">
        <v>889</v>
      </c>
      <c r="G202" s="3"/>
      <c r="H202" s="2" t="s">
        <v>138</v>
      </c>
      <c r="I202" s="4"/>
      <c r="J202" s="5"/>
      <c r="K202" s="2"/>
      <c r="L202" s="2"/>
      <c r="M202" s="2"/>
    </row>
    <row r="203" customFormat="false" ht="23.85" hidden="false" customHeight="false" outlineLevel="0" collapsed="false">
      <c r="A203" s="2" t="s">
        <v>890</v>
      </c>
      <c r="B203" s="2" t="n">
        <v>10</v>
      </c>
      <c r="C203" s="2" t="s">
        <v>858</v>
      </c>
      <c r="D203" s="2" t="s">
        <v>891</v>
      </c>
      <c r="E203" s="3" t="s">
        <v>892</v>
      </c>
      <c r="F203" s="3" t="s">
        <v>893</v>
      </c>
      <c r="G203" s="3" t="s">
        <v>425</v>
      </c>
      <c r="H203" s="2" t="s">
        <v>28</v>
      </c>
      <c r="I203" s="4"/>
      <c r="J203" s="5"/>
      <c r="K203" s="2"/>
      <c r="L203" s="2"/>
      <c r="M203" s="2"/>
    </row>
    <row r="204" customFormat="false" ht="15" hidden="false" customHeight="false" outlineLevel="0" collapsed="false">
      <c r="A204" s="2" t="s">
        <v>894</v>
      </c>
      <c r="B204" s="2" t="n">
        <v>10</v>
      </c>
      <c r="C204" s="2" t="s">
        <v>858</v>
      </c>
      <c r="D204" s="2" t="s">
        <v>895</v>
      </c>
      <c r="E204" s="3" t="s">
        <v>896</v>
      </c>
      <c r="F204" s="3" t="s">
        <v>897</v>
      </c>
      <c r="G204" s="3" t="s">
        <v>425</v>
      </c>
      <c r="H204" s="2" t="s">
        <v>28</v>
      </c>
      <c r="I204" s="4"/>
      <c r="J204" s="5"/>
      <c r="K204" s="2"/>
      <c r="L204" s="2"/>
      <c r="M204" s="2"/>
    </row>
    <row r="205" customFormat="false" ht="68.65" hidden="false" customHeight="false" outlineLevel="0" collapsed="false">
      <c r="A205" s="2" t="s">
        <v>898</v>
      </c>
      <c r="B205" s="2" t="n">
        <v>10</v>
      </c>
      <c r="C205" s="2" t="s">
        <v>858</v>
      </c>
      <c r="D205" s="2" t="s">
        <v>899</v>
      </c>
      <c r="E205" s="3" t="s">
        <v>900</v>
      </c>
      <c r="F205" s="3" t="s">
        <v>901</v>
      </c>
      <c r="G205" s="3" t="s">
        <v>902</v>
      </c>
      <c r="H205" s="2" t="s">
        <v>138</v>
      </c>
      <c r="I205" s="4"/>
      <c r="J205" s="5"/>
      <c r="K205" s="2"/>
      <c r="L205" s="2"/>
      <c r="M205" s="2"/>
    </row>
    <row r="206" customFormat="false" ht="57.45" hidden="false" customHeight="false" outlineLevel="0" collapsed="false">
      <c r="A206" s="2" t="s">
        <v>903</v>
      </c>
      <c r="B206" s="2" t="n">
        <v>10</v>
      </c>
      <c r="C206" s="2" t="s">
        <v>858</v>
      </c>
      <c r="D206" s="2" t="s">
        <v>904</v>
      </c>
      <c r="E206" s="3" t="s">
        <v>905</v>
      </c>
      <c r="F206" s="3" t="s">
        <v>906</v>
      </c>
      <c r="G206" s="3" t="s">
        <v>907</v>
      </c>
      <c r="H206" s="2"/>
      <c r="I206" s="4"/>
      <c r="J206" s="5"/>
      <c r="K206" s="2"/>
      <c r="L206" s="2"/>
      <c r="M206" s="2"/>
    </row>
    <row r="207" customFormat="false" ht="35.05" hidden="false" customHeight="false" outlineLevel="0" collapsed="false">
      <c r="A207" s="2" t="s">
        <v>908</v>
      </c>
      <c r="B207" s="2" t="n">
        <v>10</v>
      </c>
      <c r="C207" s="2" t="s">
        <v>858</v>
      </c>
      <c r="D207" s="2" t="s">
        <v>909</v>
      </c>
      <c r="E207" s="3" t="s">
        <v>910</v>
      </c>
      <c r="F207" s="3" t="s">
        <v>911</v>
      </c>
      <c r="G207" s="3" t="s">
        <v>912</v>
      </c>
      <c r="H207" s="2"/>
      <c r="I207" s="4"/>
      <c r="J207" s="5"/>
      <c r="K207" s="2"/>
      <c r="L207" s="2"/>
      <c r="M207" s="2"/>
    </row>
    <row r="208" customFormat="false" ht="35.05" hidden="false" customHeight="false" outlineLevel="0" collapsed="false">
      <c r="A208" s="2" t="s">
        <v>913</v>
      </c>
      <c r="B208" s="2" t="n">
        <v>11</v>
      </c>
      <c r="C208" s="2" t="s">
        <v>914</v>
      </c>
      <c r="D208" s="2" t="s">
        <v>915</v>
      </c>
      <c r="E208" s="3" t="s">
        <v>916</v>
      </c>
      <c r="F208" s="3" t="s">
        <v>917</v>
      </c>
      <c r="G208" s="3" t="s">
        <v>192</v>
      </c>
      <c r="H208" s="2" t="s">
        <v>18</v>
      </c>
      <c r="I208" s="4" t="n">
        <v>7205331.91</v>
      </c>
      <c r="J208" s="5"/>
      <c r="K208" s="2" t="str">
        <f aca="false">IF(OR(J208="",I208=""),"",IF(ABS(J208-I208)&lt;=MAX(0.0001,ABS(I208)*0.0001),"MATCH","CHECK"))</f>
        <v/>
      </c>
      <c r="L208" s="2"/>
      <c r="M208" s="2"/>
    </row>
    <row r="209" customFormat="false" ht="23.85" hidden="false" customHeight="false" outlineLevel="0" collapsed="false">
      <c r="A209" s="2" t="s">
        <v>918</v>
      </c>
      <c r="B209" s="2" t="n">
        <v>11</v>
      </c>
      <c r="C209" s="2" t="s">
        <v>914</v>
      </c>
      <c r="D209" s="2" t="s">
        <v>919</v>
      </c>
      <c r="E209" s="3" t="s">
        <v>920</v>
      </c>
      <c r="F209" s="3" t="s">
        <v>921</v>
      </c>
      <c r="G209" s="3" t="s">
        <v>922</v>
      </c>
      <c r="H209" s="2" t="s">
        <v>112</v>
      </c>
      <c r="I209" s="4"/>
      <c r="J209" s="5"/>
      <c r="K209" s="2"/>
      <c r="L209" s="2"/>
      <c r="M209" s="2"/>
    </row>
    <row r="210" customFormat="false" ht="23.85" hidden="false" customHeight="false" outlineLevel="0" collapsed="false">
      <c r="A210" s="2" t="s">
        <v>923</v>
      </c>
      <c r="B210" s="2" t="n">
        <v>11</v>
      </c>
      <c r="C210" s="2" t="s">
        <v>914</v>
      </c>
      <c r="D210" s="2" t="s">
        <v>924</v>
      </c>
      <c r="E210" s="3" t="s">
        <v>925</v>
      </c>
      <c r="F210" s="3" t="s">
        <v>926</v>
      </c>
      <c r="G210" s="3"/>
      <c r="H210" s="2" t="s">
        <v>112</v>
      </c>
      <c r="I210" s="4" t="n">
        <v>0.035768</v>
      </c>
      <c r="J210" s="5"/>
      <c r="K210" s="2" t="str">
        <f aca="false">IF(OR(J210="",I210=""),"",IF(ABS(J210-I210)&lt;=MAX(0.0001,ABS(I210)*0.0001),"MATCH","CHECK"))</f>
        <v/>
      </c>
      <c r="L210" s="2"/>
      <c r="M210" s="2"/>
    </row>
    <row r="211" customFormat="false" ht="23.85" hidden="false" customHeight="false" outlineLevel="0" collapsed="false">
      <c r="A211" s="2" t="s">
        <v>927</v>
      </c>
      <c r="B211" s="2" t="n">
        <v>11</v>
      </c>
      <c r="C211" s="2" t="s">
        <v>928</v>
      </c>
      <c r="D211" s="2" t="s">
        <v>929</v>
      </c>
      <c r="E211" s="3" t="s">
        <v>930</v>
      </c>
      <c r="F211" s="3" t="s">
        <v>931</v>
      </c>
      <c r="G211" s="3"/>
      <c r="H211" s="2" t="s">
        <v>216</v>
      </c>
      <c r="I211" s="4"/>
      <c r="J211" s="5"/>
      <c r="K211" s="2"/>
      <c r="L211" s="2"/>
      <c r="M211" s="2"/>
    </row>
    <row r="212" customFormat="false" ht="15" hidden="false" customHeight="false" outlineLevel="0" collapsed="false">
      <c r="A212" s="2" t="s">
        <v>932</v>
      </c>
      <c r="B212" s="2" t="n">
        <v>11</v>
      </c>
      <c r="C212" s="2" t="s">
        <v>928</v>
      </c>
      <c r="D212" s="2" t="s">
        <v>933</v>
      </c>
      <c r="E212" s="3" t="s">
        <v>934</v>
      </c>
      <c r="F212" s="3" t="s">
        <v>935</v>
      </c>
      <c r="G212" s="3" t="s">
        <v>929</v>
      </c>
      <c r="H212" s="2" t="s">
        <v>28</v>
      </c>
      <c r="I212" s="4"/>
      <c r="J212" s="5"/>
      <c r="K212" s="2"/>
      <c r="L212" s="2"/>
      <c r="M212" s="2"/>
    </row>
    <row r="213" customFormat="false" ht="23.85" hidden="false" customHeight="false" outlineLevel="0" collapsed="false">
      <c r="A213" s="2" t="s">
        <v>936</v>
      </c>
      <c r="B213" s="2" t="n">
        <v>11</v>
      </c>
      <c r="C213" s="2" t="s">
        <v>186</v>
      </c>
      <c r="D213" s="2" t="s">
        <v>937</v>
      </c>
      <c r="E213" s="3" t="s">
        <v>938</v>
      </c>
      <c r="F213" s="3" t="s">
        <v>939</v>
      </c>
      <c r="G213" s="3"/>
      <c r="H213" s="2" t="s">
        <v>28</v>
      </c>
      <c r="I213" s="4"/>
      <c r="J213" s="5"/>
      <c r="K213" s="2"/>
      <c r="L213" s="2"/>
      <c r="M213" s="2"/>
    </row>
    <row r="214" customFormat="false" ht="15" hidden="false" customHeight="false" outlineLevel="0" collapsed="false">
      <c r="A214" s="2" t="s">
        <v>940</v>
      </c>
      <c r="B214" s="2" t="n">
        <v>11</v>
      </c>
      <c r="C214" s="2" t="s">
        <v>186</v>
      </c>
      <c r="D214" s="2" t="s">
        <v>941</v>
      </c>
      <c r="E214" s="3" t="s">
        <v>942</v>
      </c>
      <c r="F214" s="3" t="s">
        <v>943</v>
      </c>
      <c r="G214" s="3"/>
      <c r="H214" s="2" t="s">
        <v>18</v>
      </c>
      <c r="I214" s="4"/>
      <c r="J214" s="5"/>
      <c r="K214" s="2"/>
      <c r="L214" s="2"/>
      <c r="M214" s="2"/>
    </row>
    <row r="215" customFormat="false" ht="23.85" hidden="false" customHeight="false" outlineLevel="0" collapsed="false">
      <c r="A215" s="2" t="s">
        <v>944</v>
      </c>
      <c r="B215" s="2" t="n">
        <v>11</v>
      </c>
      <c r="C215" s="2" t="s">
        <v>186</v>
      </c>
      <c r="D215" s="2" t="s">
        <v>945</v>
      </c>
      <c r="E215" s="3" t="s">
        <v>946</v>
      </c>
      <c r="F215" s="3" t="s">
        <v>947</v>
      </c>
      <c r="G215" s="3"/>
      <c r="H215" s="2" t="s">
        <v>112</v>
      </c>
      <c r="I215" s="4"/>
      <c r="J215" s="5"/>
      <c r="K215" s="2"/>
      <c r="L215" s="2"/>
      <c r="M215" s="2"/>
    </row>
    <row r="216" customFormat="false" ht="15" hidden="false" customHeight="false" outlineLevel="0" collapsed="false">
      <c r="A216" s="2" t="s">
        <v>948</v>
      </c>
      <c r="B216" s="2" t="n">
        <v>11</v>
      </c>
      <c r="C216" s="2" t="s">
        <v>949</v>
      </c>
      <c r="D216" s="2" t="s">
        <v>950</v>
      </c>
      <c r="E216" s="3" t="s">
        <v>951</v>
      </c>
      <c r="F216" s="3" t="s">
        <v>952</v>
      </c>
      <c r="G216" s="3"/>
      <c r="H216" s="2"/>
      <c r="I216" s="4"/>
      <c r="J216" s="5"/>
      <c r="K216" s="2"/>
      <c r="L216" s="2"/>
      <c r="M216" s="2"/>
    </row>
    <row r="217" customFormat="false" ht="23.85" hidden="false" customHeight="false" outlineLevel="0" collapsed="false">
      <c r="A217" s="2" t="s">
        <v>953</v>
      </c>
      <c r="B217" s="2" t="n">
        <v>11</v>
      </c>
      <c r="C217" s="2" t="s">
        <v>954</v>
      </c>
      <c r="D217" s="2" t="s">
        <v>955</v>
      </c>
      <c r="E217" s="3" t="s">
        <v>956</v>
      </c>
      <c r="F217" s="3" t="s">
        <v>957</v>
      </c>
      <c r="G217" s="3"/>
      <c r="H217" s="2" t="s">
        <v>28</v>
      </c>
      <c r="I217" s="4"/>
      <c r="J217" s="5"/>
      <c r="K217" s="2"/>
      <c r="L217" s="2"/>
      <c r="M217" s="2"/>
    </row>
    <row r="218" customFormat="false" ht="15" hidden="false" customHeight="false" outlineLevel="0" collapsed="false">
      <c r="A218" s="2" t="s">
        <v>958</v>
      </c>
      <c r="B218" s="2" t="n">
        <v>12</v>
      </c>
      <c r="C218" s="2" t="s">
        <v>959</v>
      </c>
      <c r="D218" s="2" t="s">
        <v>960</v>
      </c>
      <c r="E218" s="3" t="s">
        <v>961</v>
      </c>
      <c r="F218" s="3" t="s">
        <v>962</v>
      </c>
      <c r="G218" s="3"/>
      <c r="H218" s="2"/>
      <c r="I218" s="4"/>
      <c r="J218" s="5"/>
      <c r="K218" s="2"/>
      <c r="L218" s="2"/>
      <c r="M218" s="2"/>
    </row>
    <row r="219" customFormat="false" ht="23.85" hidden="false" customHeight="false" outlineLevel="0" collapsed="false">
      <c r="A219" s="2" t="s">
        <v>963</v>
      </c>
      <c r="B219" s="2" t="n">
        <v>12</v>
      </c>
      <c r="C219" s="2" t="s">
        <v>959</v>
      </c>
      <c r="D219" s="2" t="s">
        <v>964</v>
      </c>
      <c r="E219" s="3" t="s">
        <v>965</v>
      </c>
      <c r="F219" s="3" t="s">
        <v>966</v>
      </c>
      <c r="G219" s="3"/>
      <c r="H219" s="2"/>
      <c r="I219" s="4"/>
      <c r="J219" s="5"/>
      <c r="K219" s="2"/>
      <c r="L219" s="2"/>
      <c r="M219" s="2"/>
    </row>
    <row r="220" customFormat="false" ht="15" hidden="false" customHeight="false" outlineLevel="0" collapsed="false">
      <c r="A220" s="2" t="s">
        <v>967</v>
      </c>
      <c r="B220" s="2" t="n">
        <v>12</v>
      </c>
      <c r="C220" s="2" t="s">
        <v>959</v>
      </c>
      <c r="D220" s="2" t="s">
        <v>968</v>
      </c>
      <c r="E220" s="3" t="s">
        <v>969</v>
      </c>
      <c r="F220" s="3" t="s">
        <v>970</v>
      </c>
      <c r="G220" s="3" t="s">
        <v>35</v>
      </c>
      <c r="H220" s="2" t="s">
        <v>18</v>
      </c>
      <c r="I220" s="4"/>
      <c r="J220" s="5"/>
      <c r="K220" s="2"/>
      <c r="L220" s="2"/>
      <c r="M220" s="2"/>
    </row>
    <row r="221" customFormat="false" ht="57.45" hidden="false" customHeight="false" outlineLevel="0" collapsed="false">
      <c r="A221" s="2" t="s">
        <v>971</v>
      </c>
      <c r="B221" s="2" t="n">
        <v>12</v>
      </c>
      <c r="C221" s="2" t="s">
        <v>972</v>
      </c>
      <c r="D221" s="2" t="s">
        <v>973</v>
      </c>
      <c r="E221" s="3" t="s">
        <v>974</v>
      </c>
      <c r="F221" s="3" t="s">
        <v>975</v>
      </c>
      <c r="G221" s="3" t="s">
        <v>15</v>
      </c>
      <c r="H221" s="2" t="s">
        <v>18</v>
      </c>
      <c r="I221" s="4" t="n">
        <v>-152364302.75</v>
      </c>
      <c r="J221" s="5"/>
      <c r="K221" s="2" t="str">
        <f aca="false">IF(OR(J221="",I221=""),"",IF(ABS(J221-I221)&lt;=MAX(0.0001,ABS(I221)*0.0001),"MATCH","CHECK"))</f>
        <v/>
      </c>
      <c r="L221" s="2"/>
      <c r="M221" s="2"/>
    </row>
    <row r="222" customFormat="false" ht="15" hidden="false" customHeight="false" outlineLevel="0" collapsed="false">
      <c r="A222" s="2" t="s">
        <v>976</v>
      </c>
      <c r="B222" s="2" t="n">
        <v>12</v>
      </c>
      <c r="C222" s="2" t="s">
        <v>972</v>
      </c>
      <c r="D222" s="2" t="s">
        <v>977</v>
      </c>
      <c r="E222" s="3" t="s">
        <v>978</v>
      </c>
      <c r="F222" s="3" t="s">
        <v>979</v>
      </c>
      <c r="G222" s="3"/>
      <c r="H222" s="2" t="s">
        <v>138</v>
      </c>
      <c r="I222" s="4"/>
      <c r="J222" s="5"/>
      <c r="K222" s="2"/>
      <c r="L222" s="2"/>
      <c r="M222" s="2"/>
    </row>
    <row r="223" customFormat="false" ht="15" hidden="false" customHeight="false" outlineLevel="0" collapsed="false">
      <c r="A223" s="2" t="s">
        <v>980</v>
      </c>
      <c r="B223" s="2" t="n">
        <v>12</v>
      </c>
      <c r="C223" s="2" t="s">
        <v>972</v>
      </c>
      <c r="D223" s="2" t="s">
        <v>981</v>
      </c>
      <c r="E223" s="3" t="s">
        <v>982</v>
      </c>
      <c r="F223" s="3" t="s">
        <v>983</v>
      </c>
      <c r="G223" s="3" t="s">
        <v>704</v>
      </c>
      <c r="H223" s="2"/>
      <c r="I223" s="4"/>
      <c r="J223" s="5"/>
      <c r="K223" s="2"/>
      <c r="L223" s="2"/>
      <c r="M223" s="2"/>
    </row>
    <row r="225" customFormat="false" ht="15" hidden="false" customHeight="false" outlineLevel="0" collapsed="false">
      <c r="D225" s="6" t="s">
        <v>984</v>
      </c>
    </row>
    <row r="226" customFormat="false" ht="15" hidden="false" customHeight="false" outlineLevel="0" collapsed="false">
      <c r="D226" s="7" t="s">
        <v>985</v>
      </c>
    </row>
    <row r="227" customFormat="false" ht="15" hidden="false" customHeight="false" outlineLevel="0" collapsed="false">
      <c r="D227" s="8" t="s">
        <v>986</v>
      </c>
    </row>
  </sheetData>
  <autoFilter ref="A1:M22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58"/>
    <col collapsed="false" customWidth="true" hidden="false" outlineLevel="0" max="3" min="3" style="0" width="12"/>
  </cols>
  <sheetData>
    <row r="1" customFormat="false" ht="15" hidden="false" customHeight="false" outlineLevel="0" collapsed="false">
      <c r="A1" s="9" t="s">
        <v>1</v>
      </c>
      <c r="B1" s="9" t="s">
        <v>987</v>
      </c>
      <c r="C1" s="9" t="s">
        <v>988</v>
      </c>
    </row>
    <row r="2" customFormat="false" ht="15" hidden="false" customHeight="false" outlineLevel="0" collapsed="false">
      <c r="A2" s="10" t="n">
        <v>3</v>
      </c>
      <c r="B2" s="10" t="s">
        <v>989</v>
      </c>
      <c r="C2" s="10" t="n">
        <f aca="false">COUNTIF('Measure Dictionary'!B:B,3)</f>
        <v>40</v>
      </c>
    </row>
    <row r="3" customFormat="false" ht="15" hidden="false" customHeight="false" outlineLevel="0" collapsed="false">
      <c r="A3" s="10" t="n">
        <v>4</v>
      </c>
      <c r="B3" s="10" t="s">
        <v>990</v>
      </c>
      <c r="C3" s="10" t="n">
        <f aca="false">COUNTIF('Measure Dictionary'!B:B,4)</f>
        <v>24</v>
      </c>
    </row>
    <row r="4" customFormat="false" ht="15" hidden="false" customHeight="false" outlineLevel="0" collapsed="false">
      <c r="A4" s="10" t="n">
        <v>5</v>
      </c>
      <c r="B4" s="10" t="s">
        <v>991</v>
      </c>
      <c r="C4" s="10" t="n">
        <f aca="false">COUNTIF('Measure Dictionary'!B:B,5)</f>
        <v>14</v>
      </c>
    </row>
    <row r="5" customFormat="false" ht="15" hidden="false" customHeight="false" outlineLevel="0" collapsed="false">
      <c r="A5" s="10" t="n">
        <v>6</v>
      </c>
      <c r="B5" s="10" t="s">
        <v>992</v>
      </c>
      <c r="C5" s="10" t="n">
        <f aca="false">COUNTIF('Measure Dictionary'!B:B,6)</f>
        <v>31</v>
      </c>
    </row>
    <row r="6" customFormat="false" ht="15" hidden="false" customHeight="false" outlineLevel="0" collapsed="false">
      <c r="A6" s="10" t="n">
        <v>7</v>
      </c>
      <c r="B6" s="10" t="s">
        <v>993</v>
      </c>
      <c r="C6" s="10" t="n">
        <f aca="false">COUNTIF('Measure Dictionary'!B:B,7)</f>
        <v>24</v>
      </c>
    </row>
    <row r="7" customFormat="false" ht="15" hidden="false" customHeight="false" outlineLevel="0" collapsed="false">
      <c r="A7" s="10" t="n">
        <v>8</v>
      </c>
      <c r="B7" s="10" t="s">
        <v>994</v>
      </c>
      <c r="C7" s="10" t="n">
        <f aca="false">COUNTIF('Measure Dictionary'!B:B,8)</f>
        <v>14</v>
      </c>
    </row>
    <row r="8" customFormat="false" ht="15" hidden="false" customHeight="false" outlineLevel="0" collapsed="false">
      <c r="A8" s="10" t="n">
        <v>9</v>
      </c>
      <c r="B8" s="10" t="s">
        <v>995</v>
      </c>
      <c r="C8" s="10" t="n">
        <f aca="false">COUNTIF('Measure Dictionary'!B:B,9)</f>
        <v>26</v>
      </c>
    </row>
    <row r="9" customFormat="false" ht="15" hidden="false" customHeight="false" outlineLevel="0" collapsed="false">
      <c r="A9" s="10" t="n">
        <v>10</v>
      </c>
      <c r="B9" s="10" t="s">
        <v>996</v>
      </c>
      <c r="C9" s="10" t="n">
        <f aca="false">COUNTIF('Measure Dictionary'!B:B,10)</f>
        <v>33</v>
      </c>
    </row>
    <row r="10" customFormat="false" ht="15" hidden="false" customHeight="false" outlineLevel="0" collapsed="false">
      <c r="A10" s="10" t="n">
        <v>11</v>
      </c>
      <c r="B10" s="10" t="s">
        <v>997</v>
      </c>
      <c r="C10" s="10" t="n">
        <f aca="false">COUNTIF('Measure Dictionary'!B:B,11)</f>
        <v>10</v>
      </c>
    </row>
    <row r="11" customFormat="false" ht="15" hidden="false" customHeight="false" outlineLevel="0" collapsed="false">
      <c r="A11" s="10" t="n">
        <v>12</v>
      </c>
      <c r="B11" s="10" t="s">
        <v>998</v>
      </c>
      <c r="C11" s="10" t="n">
        <f aca="false">COUNTIF('Measure Dictionary'!B:B,12)</f>
        <v>6</v>
      </c>
    </row>
    <row r="12" customFormat="false" ht="15" hidden="false" customHeight="false" outlineLevel="0" collapsed="false">
      <c r="A12" s="10"/>
      <c r="B12" s="10" t="s">
        <v>999</v>
      </c>
      <c r="C12" s="10" t="n">
        <f aca="false">SUM(C2:C11)</f>
        <v>222</v>
      </c>
    </row>
    <row r="13" customFormat="false" ht="15" hidden="false" customHeight="false" outlineLevel="0" collapsed="false">
      <c r="A13" s="10"/>
      <c r="B13" s="10" t="s">
        <v>1000</v>
      </c>
      <c r="C13" s="11" t="n">
        <v>80</v>
      </c>
    </row>
    <row r="14" customFormat="false" ht="15" hidden="false" customHeight="false" outlineLevel="0" collapsed="false">
      <c r="A14" s="10"/>
      <c r="B14" s="10" t="s">
        <v>1001</v>
      </c>
      <c r="C14" s="10" t="str">
        <f aca="false">IF(C12&gt;=C13,"YES","NO")</f>
        <v>YES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40"/>
    <col collapsed="false" customWidth="true" hidden="false" outlineLevel="0" max="3" min="3" style="0" width="55"/>
  </cols>
  <sheetData>
    <row r="1" customFormat="false" ht="15" hidden="false" customHeight="false" outlineLevel="0" collapsed="false">
      <c r="A1" s="9" t="s">
        <v>1002</v>
      </c>
      <c r="B1" s="9" t="s">
        <v>1003</v>
      </c>
      <c r="C1" s="9" t="s">
        <v>1004</v>
      </c>
    </row>
    <row r="2" customFormat="false" ht="15" hidden="false" customHeight="false" outlineLevel="0" collapsed="false">
      <c r="A2" s="10" t="s">
        <v>1005</v>
      </c>
      <c r="B2" s="10" t="s">
        <v>1006</v>
      </c>
      <c r="C2" s="10" t="s">
        <v>1007</v>
      </c>
    </row>
    <row r="3" customFormat="false" ht="15" hidden="false" customHeight="false" outlineLevel="0" collapsed="false">
      <c r="A3" s="10" t="s">
        <v>1008</v>
      </c>
      <c r="B3" s="10" t="s">
        <v>1009</v>
      </c>
      <c r="C3" s="10" t="s">
        <v>1010</v>
      </c>
    </row>
    <row r="4" customFormat="false" ht="15" hidden="false" customHeight="false" outlineLevel="0" collapsed="false">
      <c r="A4" s="10" t="s">
        <v>1011</v>
      </c>
      <c r="B4" s="10" t="s">
        <v>1012</v>
      </c>
      <c r="C4" s="10" t="s">
        <v>1013</v>
      </c>
    </row>
    <row r="5" customFormat="false" ht="15" hidden="false" customHeight="false" outlineLevel="0" collapsed="false">
      <c r="A5" s="10" t="s">
        <v>1014</v>
      </c>
      <c r="B5" s="10" t="s">
        <v>1015</v>
      </c>
      <c r="C5" s="10" t="s">
        <v>1016</v>
      </c>
    </row>
    <row r="6" customFormat="false" ht="15" hidden="false" customHeight="false" outlineLevel="0" collapsed="false">
      <c r="A6" s="10" t="s">
        <v>1017</v>
      </c>
      <c r="B6" s="10" t="s">
        <v>1018</v>
      </c>
      <c r="C6" s="10" t="s">
        <v>1019</v>
      </c>
    </row>
    <row r="7" customFormat="false" ht="15" hidden="false" customHeight="false" outlineLevel="0" collapsed="false">
      <c r="A7" s="10" t="s">
        <v>1020</v>
      </c>
      <c r="B7" s="10" t="s">
        <v>1021</v>
      </c>
      <c r="C7" s="10" t="s">
        <v>1022</v>
      </c>
    </row>
    <row r="8" customFormat="false" ht="15" hidden="false" customHeight="false" outlineLevel="0" collapsed="false">
      <c r="A8" s="10" t="s">
        <v>1023</v>
      </c>
      <c r="B8" s="10" t="s">
        <v>1024</v>
      </c>
      <c r="C8" s="10" t="s">
        <v>1025</v>
      </c>
    </row>
    <row r="9" customFormat="false" ht="15" hidden="false" customHeight="false" outlineLevel="0" collapsed="false">
      <c r="A9" s="10" t="s">
        <v>1026</v>
      </c>
      <c r="B9" s="10" t="s">
        <v>1027</v>
      </c>
      <c r="C9" s="10" t="s">
        <v>1028</v>
      </c>
    </row>
    <row r="10" customFormat="false" ht="15" hidden="false" customHeight="false" outlineLevel="0" collapsed="false">
      <c r="A10" s="10" t="s">
        <v>1029</v>
      </c>
      <c r="B10" s="10" t="s">
        <v>1030</v>
      </c>
      <c r="C10" s="10" t="s">
        <v>1031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2026-10-06T11:19:11Z</dcterms:created>
  <dc:creator>openpyxl</dc:creator>
  <dc:description/>
  <dc:language>en-US</dc:language>
  <cp:lastModifiedBy/>
  <dcterms:modified xsi:type="dcterms:W3CDTF">2026-10-06T11:19:11Z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