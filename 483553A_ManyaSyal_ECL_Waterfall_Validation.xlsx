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ECL_Summary" sheetId="3" state="visible" r:id="rId5"/>
    <sheet name="Python_Results" sheetId="4" state="visible" r:id="rId6"/>
    <sheet name="Waterfall" sheetId="5" state="visible" r:id="rId7"/>
    <sheet name="PD_TermStructure" sheetId="6" state="visible" r:id="rId8"/>
    <sheet name="ECL_LoanLev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<sst xmlns="http://schemas.openxmlformats.org/spreadsheetml/2006/main" count="1416" uniqueCount="676">
  <si>
    <t xml:space="preserve">Securitisation Risk Analytics - Excel Validation Workbook</t>
  </si>
  <si>
    <t xml:space="preserve">Purpose: independent cross-check of (1) IFRS 9 ECL and (2) the 36-month tranche waterfall used in the Power BI model.</t>
  </si>
  <si>
    <t xml:space="preserve">Colour code: BLUE = hard-coded input or value pasted from the Python / CSV outputs; BLACK = formula. Yellow cell = the one you change.</t>
  </si>
  <si>
    <t xml:space="preserve">Sheets</t>
  </si>
  <si>
    <t xml:space="preserve">  Assumptions       - calibrated parameters (from dynamic_loss_monthly and the tape), scenario table, tranche structure. Change the scenario in B10.</t>
  </si>
  <si>
    <t xml:space="preserve">  Waterfall         - month-by-month waterfall rebuilt in Excel formulas; compares to the Python engine and checks cash conservation.</t>
  </si>
  <si>
    <t xml:space="preserve">  Python_Results    - end balances produced by securitisation_pipeline.py for all six scenarios (comparison source).</t>
  </si>
  <si>
    <t xml:space="preserve">  ECL_LoanLevel     - loan-level recomputation: tape ECL vs PD x LGD x EAD, and the challenger ECL from the transition-matrix PD term structure.</t>
  </si>
  <si>
    <t xml:space="preserve">  PD_TermStructure  - cumulative PD by starting DPD bucket and horizon (from the empirical roll-rate matrix).</t>
  </si>
  <si>
    <t xml:space="preserve">  ECL_Summary       - stage-level reconciliation and PASS/FAIL checks.</t>
  </si>
  <si>
    <t xml:space="preserve">Key assumptions (also listed in Assumptions): tranche sizes/coupons, 0.5% servicing fee and trigger levels are ASSUMED - the brief gives none.</t>
  </si>
  <si>
    <t xml:space="preserve">Challenger LGD = net loss severity from dynamic_loss_monthly (NetLoss / NewDefaults_Balance).</t>
  </si>
  <si>
    <t xml:space="preserve">Discounting: ECL discounted at the loan EIR over half the PD horizon (average timing of default). Stage 3 = PD 100%, 6-month horizon.</t>
  </si>
  <si>
    <t xml:space="preserve">Data issues found in the supplied files are in powerbi_data/DataQualityLog.csv - read them before relying on any figure.</t>
  </si>
  <si>
    <t xml:space="preserve">Assumptions and scenario selector</t>
  </si>
  <si>
    <t xml:space="preserve">Pool net LGD (severity)</t>
  </si>
  <si>
    <t xml:space="preserve">dynamic_loss_monthly: NetLoss / NewDefaults_Balance</t>
  </si>
  <si>
    <t xml:space="preserve">Base annual CDR</t>
  </si>
  <si>
    <t xml:space="preserve">dynamic_loss_monthly: NewDefaults_Balance / BOP_Balance, annualised</t>
  </si>
  <si>
    <t xml:space="preserve">Base annual CPR</t>
  </si>
  <si>
    <t xml:space="preserve">dynamic_loss_monthly: Prepayments / BOP_Balance, annualised</t>
  </si>
  <si>
    <t xml:space="preserve">Pool WAC</t>
  </si>
  <si>
    <t xml:space="preserve">tape: InterestRate weighted by CurrentBalance</t>
  </si>
  <si>
    <t xml:space="preserve">Pool WAM (months)</t>
  </si>
  <si>
    <t xml:space="preserve">tape: RemainingTerm weighted by CurrentBalance</t>
  </si>
  <si>
    <t xml:space="preserve">Pool balance</t>
  </si>
  <si>
    <t xml:space="preserve">tape: sum CurrentBalance</t>
  </si>
  <si>
    <t xml:space="preserve">Servicing fee (p.a.)</t>
  </si>
  <si>
    <t xml:space="preserve">ASSUMPTION</t>
  </si>
  <si>
    <t xml:space="preserve">SELECTED SCENARIO ID (1-6)</t>
  </si>
  <si>
    <t xml:space="preserve">Change this cell; the Waterfall sheet and its Python comparison update. 1=Base ... 6=Rate Shock</t>
  </si>
  <si>
    <t xml:space="preserve">Selected annual CDR</t>
  </si>
  <si>
    <t xml:space="preserve">Selected annual CPR</t>
  </si>
  <si>
    <t xml:space="preserve">Selected pool LGD</t>
  </si>
  <si>
    <t xml:space="preserve">Monthly default rate (MDR)</t>
  </si>
  <si>
    <t xml:space="preserve">Single monthly mortality (SMM)</t>
  </si>
  <si>
    <t xml:space="preserve">ID</t>
  </si>
  <si>
    <t xml:space="preserve">Scenario</t>
  </si>
  <si>
    <t xml:space="preserve">Weight</t>
  </si>
  <si>
    <t xml:space="preserve">CDR multiple</t>
  </si>
  <si>
    <t xml:space="preserve">CPR change</t>
  </si>
  <si>
    <t xml:space="preserve">Annual CDR</t>
  </si>
  <si>
    <t xml:space="preserve">Annual CPR</t>
  </si>
  <si>
    <t xml:space="preserve">Pool LGD</t>
  </si>
  <si>
    <t xml:space="preserve">PD multiplier</t>
  </si>
  <si>
    <t xml:space="preserve">LGD add</t>
  </si>
  <si>
    <t xml:space="preserve">Base</t>
  </si>
  <si>
    <t xml:space="preserve">Upside</t>
  </si>
  <si>
    <t xml:space="preserve">Moderate Stress</t>
  </si>
  <si>
    <t xml:space="preserve">Severe Stress</t>
  </si>
  <si>
    <t xml:space="preserve">Crisis (GFC-style)</t>
  </si>
  <si>
    <t xml:space="preserve">Rate Shock</t>
  </si>
  <si>
    <t xml:space="preserve">Tranche</t>
  </si>
  <si>
    <t xml:space="preserve">Size % of pool</t>
  </si>
  <si>
    <t xml:space="preserve">Coupon</t>
  </si>
  <si>
    <t xml:space="preserve">Attachment</t>
  </si>
  <si>
    <t xml:space="preserve">Detachment</t>
  </si>
  <si>
    <t xml:space="preserve">Note</t>
  </si>
  <si>
    <t xml:space="preserve">Class A (Senior)</t>
  </si>
  <si>
    <t xml:space="preserve">ASSUMED structure - brief supplies no tranche terms</t>
  </si>
  <si>
    <t xml:space="preserve">Class B (Mezzanine)</t>
  </si>
  <si>
    <t xml:space="preserve">Class C (Junior)</t>
  </si>
  <si>
    <t xml:space="preserve">Equity / Residual</t>
  </si>
  <si>
    <t xml:space="preserve">Check: sizes sum to 100%</t>
  </si>
  <si>
    <t xml:space="preserve">ECL reconciliation by IFRS 9 stage</t>
  </si>
  <si>
    <t xml:space="preserve">Stage</t>
  </si>
  <si>
    <t xml:space="preserve">Loans</t>
  </si>
  <si>
    <t xml:space="preserve">EAD</t>
  </si>
  <si>
    <t xml:space="preserve">ECL (tape)</t>
  </si>
  <si>
    <t xml:space="preserve">ECL recomputed</t>
  </si>
  <si>
    <t xml:space="preserve">Variance</t>
  </si>
  <si>
    <t xml:space="preserve">Coverage % (tape)</t>
  </si>
  <si>
    <t xml:space="preserve">Challenger ECL</t>
  </si>
  <si>
    <t xml:space="preserve">Coverage % (challenger)</t>
  </si>
  <si>
    <t xml:space="preserve">Challenger vs tape</t>
  </si>
  <si>
    <t xml:space="preserve">Total</t>
  </si>
  <si>
    <t xml:space="preserve">Checks</t>
  </si>
  <si>
    <t xml:space="preserve">Tape ECL = PD x LGD x EAD (max loan-level variance &lt; 0.05)</t>
  </si>
  <si>
    <t xml:space="preserve">Excel challenger ECL = Python challenger ECL (max loan diff &lt; 0.05)</t>
  </si>
  <si>
    <t xml:space="preserve">Stage ECL sums to total tape ECL</t>
  </si>
  <si>
    <t xml:space="preserve">Reading the result</t>
  </si>
  <si>
    <t xml:space="preserve">The tape ECL is internally consistent (PD x LGD x EAD), but the challenger is materially higher.</t>
  </si>
  <si>
    <t xml:space="preserve">Reason: the tape PD for Stage 1 is about 2%, while the roll-rate matrix in dpd_snapshot_history implies a 12-month PD of about 11% for loans starting 'Current'.</t>
  </si>
  <si>
    <t xml:space="preserve">Caveats: only 11 monthly transitions, 31 observed entries into 90+, Markov and time-homogeneity assumptions, and the duplicated-May snapshot (see DataQualityLog DQ05).</t>
  </si>
  <si>
    <t xml:space="preserve">Treat the gap as a model-risk finding to discuss in the report, not as a corrected provision.</t>
  </si>
  <si>
    <t xml:space="preserve">scenario_id</t>
  </si>
  <si>
    <t xml:space="preserve">period</t>
  </si>
  <si>
    <t xml:space="preserve">ending_pool</t>
  </si>
  <si>
    <t xml:space="preserve">Class A end</t>
  </si>
  <si>
    <t xml:space="preserve">Class B end</t>
  </si>
  <si>
    <t xml:space="preserve">Class C end</t>
  </si>
  <si>
    <t xml:space="preserve">Equity end</t>
  </si>
  <si>
    <t xml:space="preserve">Waterfall validation - Excel rebuild vs Python engine</t>
  </si>
  <si>
    <t xml:space="preserve">Selected scenario:</t>
  </si>
  <si>
    <t xml:space="preserve">Max abs difference vs Python (any column):</t>
  </si>
  <si>
    <t xml:space="preserve">Max abs cash-conservation gap (notes - pool):</t>
  </si>
  <si>
    <t xml:space="preserve">Period</t>
  </si>
  <si>
    <t xml:space="preserve">Beg pool</t>
  </si>
  <si>
    <t xml:space="preserve">Defaults</t>
  </si>
  <si>
    <t xml:space="preserve">Performing</t>
  </si>
  <si>
    <t xml:space="preserve">Prepay</t>
  </si>
  <si>
    <t xml:space="preserve">Sched principal</t>
  </si>
  <si>
    <t xml:space="preserve">Interest coll</t>
  </si>
  <si>
    <t xml:space="preserve">Recoveries</t>
  </si>
  <si>
    <t xml:space="preserve">Net loss</t>
  </si>
  <si>
    <t xml:space="preserve">Servicing fee</t>
  </si>
  <si>
    <t xml:space="preserve">Avail interest</t>
  </si>
  <si>
    <t xml:space="preserve">Beg A</t>
  </si>
  <si>
    <t xml:space="preserve">Beg B</t>
  </si>
  <si>
    <t xml:space="preserve">Beg C</t>
  </si>
  <si>
    <t xml:space="preserve">Beg Equity</t>
  </si>
  <si>
    <t xml:space="preserve">Coupon due A</t>
  </si>
  <si>
    <t xml:space="preserve">Coupon due B</t>
  </si>
  <si>
    <t xml:space="preserve">Coupon due C</t>
  </si>
  <si>
    <t xml:space="preserve">Paid A</t>
  </si>
  <si>
    <t xml:space="preserve">Paid B</t>
  </si>
  <si>
    <t xml:space="preserve">Paid C</t>
  </si>
  <si>
    <t xml:space="preserve">Excess spread</t>
  </si>
  <si>
    <t xml:space="preserve">Cover for losses</t>
  </si>
  <si>
    <t xml:space="preserve">Residual to equity</t>
  </si>
  <si>
    <t xml:space="preserve">WD Equity</t>
  </si>
  <si>
    <t xml:space="preserve">WD C</t>
  </si>
  <si>
    <t xml:space="preserve">WD B</t>
  </si>
  <si>
    <t xml:space="preserve">WD A</t>
  </si>
  <si>
    <t xml:space="preserve">A after WD</t>
  </si>
  <si>
    <t xml:space="preserve">C after WD</t>
  </si>
  <si>
    <t xml:space="preserve">B after WD</t>
  </si>
  <si>
    <t xml:space="preserve">Eq after WD</t>
  </si>
  <si>
    <t xml:space="preserve">Principal avail</t>
  </si>
  <si>
    <t xml:space="preserve">Prin A</t>
  </si>
  <si>
    <t xml:space="preserve">Prin B</t>
  </si>
  <si>
    <t xml:space="preserve">Prin C</t>
  </si>
  <si>
    <t xml:space="preserve">Prin Eq</t>
  </si>
  <si>
    <t xml:space="preserve">End A</t>
  </si>
  <si>
    <t xml:space="preserve">End B</t>
  </si>
  <si>
    <t xml:space="preserve">End C</t>
  </si>
  <si>
    <t xml:space="preserve">End Equity</t>
  </si>
  <si>
    <t xml:space="preserve">End pool</t>
  </si>
  <si>
    <t xml:space="preserve">Notes - pool</t>
  </si>
  <si>
    <t xml:space="preserve">Python end pool</t>
  </si>
  <si>
    <t xml:space="preserve">Python A</t>
  </si>
  <si>
    <t xml:space="preserve">Python B</t>
  </si>
  <si>
    <t xml:space="preserve">Python C</t>
  </si>
  <si>
    <t xml:space="preserve">Python Eq</t>
  </si>
  <si>
    <t xml:space="preserve">Diff pool</t>
  </si>
  <si>
    <t xml:space="preserve">Diff A</t>
  </si>
  <si>
    <t xml:space="preserve">Diff B</t>
  </si>
  <si>
    <t xml:space="preserve">Diff C</t>
  </si>
  <si>
    <t xml:space="preserve">Diff Eq</t>
  </si>
  <si>
    <t xml:space="preserve">Logic: interest waterfall pays fees &gt; Class A &gt; B &gt; C coupons; remaining excess spread first cures losses, the rest goes to equity. Uncovered losses write down Equity &gt; C &gt; B &gt; A. Principal (scheduled + prepay + recoveries + excess used for losses) pays A &gt; B &gt; C &gt; Equity sequentially.</t>
  </si>
  <si>
    <t xml:space="preserve">DPD_Bucket</t>
  </si>
  <si>
    <t xml:space="preserve">HorizonMonths</t>
  </si>
  <si>
    <t xml:space="preserve">CumulativePD</t>
  </si>
  <si>
    <t xml:space="preserve">Key</t>
  </si>
  <si>
    <t xml:space="preserve">Current</t>
  </si>
  <si>
    <t xml:space="preserve">1-29 DPD</t>
  </si>
  <si>
    <t xml:space="preserve">30-59 DPD</t>
  </si>
  <si>
    <t xml:space="preserve">60-89 DPD</t>
  </si>
  <si>
    <t xml:space="preserve">Loan-level ECL cross-check (tape vs recomputed vs challenger)</t>
  </si>
  <si>
    <t xml:space="preserve">Blue = pasted from the tape / Python. Challenger columns L:Q are live formulas using PD_TermStructure and Assumptions!B3 (pool LGD).</t>
  </si>
  <si>
    <t xml:space="preserve">LoanID</t>
  </si>
  <si>
    <t xml:space="preserve">IFRS9 stage</t>
  </si>
  <si>
    <t xml:space="preserve">DPD status</t>
  </si>
  <si>
    <t xml:space="preserve">Remaining term</t>
  </si>
  <si>
    <t xml:space="preserve">Interest rate %</t>
  </si>
  <si>
    <t xml:space="preserve">PD (tape)</t>
  </si>
  <si>
    <t xml:space="preserve">LGD (tape)</t>
  </si>
  <si>
    <t xml:space="preserve">Horizon (m)</t>
  </si>
  <si>
    <t xml:space="preserve">Challenger PD</t>
  </si>
  <si>
    <t xml:space="preserve">Discount factor</t>
  </si>
  <si>
    <t xml:space="preserve">Python challenger ECL</t>
  </si>
  <si>
    <t xml:space="preserve">Diff vs Python</t>
  </si>
  <si>
    <t xml:space="preserve">ZAAUTO2024-1-00001</t>
  </si>
  <si>
    <t xml:space="preserve">ZAAUTO2024-1-00002</t>
  </si>
  <si>
    <t xml:space="preserve">ZAAUTO2024-1-00003</t>
  </si>
  <si>
    <t xml:space="preserve">ZAAUTO2024-1-00004</t>
  </si>
  <si>
    <t xml:space="preserve">ZAAUTO2024-1-00005</t>
  </si>
  <si>
    <t xml:space="preserve">ZAAUTO2024-1-00006</t>
  </si>
  <si>
    <t xml:space="preserve">ZAAUTO2024-1-00007</t>
  </si>
  <si>
    <t xml:space="preserve">ZAAUTO2024-1-00008</t>
  </si>
  <si>
    <t xml:space="preserve">ZAAUTO2024-1-00009</t>
  </si>
  <si>
    <t xml:space="preserve">ZAAUTO2024-1-00010</t>
  </si>
  <si>
    <t xml:space="preserve">120+ DPD</t>
  </si>
  <si>
    <t xml:space="preserve">ZAAUTO2024-1-00011</t>
  </si>
  <si>
    <t xml:space="preserve">ZAAUTO2024-1-00012</t>
  </si>
  <si>
    <t xml:space="preserve">ZAAUTO2024-1-00013</t>
  </si>
  <si>
    <t xml:space="preserve">ZAAUTO2024-1-00014</t>
  </si>
  <si>
    <t xml:space="preserve">ZAAUTO2024-1-00015</t>
  </si>
  <si>
    <t xml:space="preserve">ZAAUTO2024-1-00016</t>
  </si>
  <si>
    <t xml:space="preserve">90-119 DPD</t>
  </si>
  <si>
    <t xml:space="preserve">ZAAUTO2024-1-00017</t>
  </si>
  <si>
    <t xml:space="preserve">ZAAUTO2024-1-00018</t>
  </si>
  <si>
    <t xml:space="preserve">ZAAUTO2024-1-00019</t>
  </si>
  <si>
    <t xml:space="preserve">ZAAUTO2024-1-00020</t>
  </si>
  <si>
    <t xml:space="preserve">ZAAUTO2024-1-00021</t>
  </si>
  <si>
    <t xml:space="preserve">ZAAUTO2024-1-00022</t>
  </si>
  <si>
    <t xml:space="preserve">ZAAUTO2024-1-00023</t>
  </si>
  <si>
    <t xml:space="preserve">ZAAUTO2024-1-00024</t>
  </si>
  <si>
    <t xml:space="preserve">ZAAUTO2024-1-00025</t>
  </si>
  <si>
    <t xml:space="preserve">ZAAUTO2024-1-00026</t>
  </si>
  <si>
    <t xml:space="preserve">ZAAUTO2024-1-00027</t>
  </si>
  <si>
    <t xml:space="preserve">ZAAUTO2024-1-00028</t>
  </si>
  <si>
    <t xml:space="preserve">ZAAUTO2024-1-00029</t>
  </si>
  <si>
    <t xml:space="preserve">ZAAUTO2024-1-00030</t>
  </si>
  <si>
    <t xml:space="preserve">ZAAUTO2024-1-00031</t>
  </si>
  <si>
    <t xml:space="preserve">ZAAUTO2024-1-00032</t>
  </si>
  <si>
    <t xml:space="preserve">ZAAUTO2024-1-00033</t>
  </si>
  <si>
    <t xml:space="preserve">ZAAUTO2024-1-00034</t>
  </si>
  <si>
    <t xml:space="preserve">ZAAUTO2024-1-00035</t>
  </si>
  <si>
    <t xml:space="preserve">ZAAUTO2024-1-00036</t>
  </si>
  <si>
    <t xml:space="preserve">ZAAUTO2024-1-00037</t>
  </si>
  <si>
    <t xml:space="preserve">ZAAUTO2024-1-00038</t>
  </si>
  <si>
    <t xml:space="preserve">ZAAUTO2024-1-00039</t>
  </si>
  <si>
    <t xml:space="preserve">ZAAUTO2024-1-00040</t>
  </si>
  <si>
    <t xml:space="preserve">ZAAUTO2024-1-00041</t>
  </si>
  <si>
    <t xml:space="preserve">ZAAUTO2024-1-00042</t>
  </si>
  <si>
    <t xml:space="preserve">ZAAUTO2024-1-00043</t>
  </si>
  <si>
    <t xml:space="preserve">ZAAUTO2024-1-00044</t>
  </si>
  <si>
    <t xml:space="preserve">ZAAUTO2024-1-00045</t>
  </si>
  <si>
    <t xml:space="preserve">ZAAUTO2024-1-00046</t>
  </si>
  <si>
    <t xml:space="preserve">ZAAUTO2024-1-00047</t>
  </si>
  <si>
    <t xml:space="preserve">ZAAUTO2024-1-00048</t>
  </si>
  <si>
    <t xml:space="preserve">ZAAUTO2024-1-00049</t>
  </si>
  <si>
    <t xml:space="preserve">ZAAUTO2024-1-00050</t>
  </si>
  <si>
    <t xml:space="preserve">ZAAUTO2024-1-00051</t>
  </si>
  <si>
    <t xml:space="preserve">ZAAUTO2024-1-00052</t>
  </si>
  <si>
    <t xml:space="preserve">ZAAUTO2024-1-00053</t>
  </si>
  <si>
    <t xml:space="preserve">ZAAUTO2024-1-00054</t>
  </si>
  <si>
    <t xml:space="preserve">ZAAUTO2024-1-00055</t>
  </si>
  <si>
    <t xml:space="preserve">ZAAUTO2024-1-00056</t>
  </si>
  <si>
    <t xml:space="preserve">ZAAUTO2024-1-00057</t>
  </si>
  <si>
    <t xml:space="preserve">ZAAUTO2024-1-00058</t>
  </si>
  <si>
    <t xml:space="preserve">ZAAUTO2024-1-00059</t>
  </si>
  <si>
    <t xml:space="preserve">ZAAUTO2024-1-00060</t>
  </si>
  <si>
    <t xml:space="preserve">ZAAUTO2024-1-00061</t>
  </si>
  <si>
    <t xml:space="preserve">ZAAUTO2024-1-00062</t>
  </si>
  <si>
    <t xml:space="preserve">ZAAUTO2024-1-00063</t>
  </si>
  <si>
    <t xml:space="preserve">ZAAUTO2024-1-00064</t>
  </si>
  <si>
    <t xml:space="preserve">ZAAUTO2024-1-00065</t>
  </si>
  <si>
    <t xml:space="preserve">ZAAUTO2024-1-00066</t>
  </si>
  <si>
    <t xml:space="preserve">ZAAUTO2024-1-00067</t>
  </si>
  <si>
    <t xml:space="preserve">ZAAUTO2024-1-00068</t>
  </si>
  <si>
    <t xml:space="preserve">ZAAUTO2024-1-00069</t>
  </si>
  <si>
    <t xml:space="preserve">ZAAUTO2024-1-00070</t>
  </si>
  <si>
    <t xml:space="preserve">ZAAUTO2024-1-00071</t>
  </si>
  <si>
    <t xml:space="preserve">ZAAUTO2024-1-00072</t>
  </si>
  <si>
    <t xml:space="preserve">ZAAUTO2024-1-00073</t>
  </si>
  <si>
    <t xml:space="preserve">ZAAUTO2024-1-00074</t>
  </si>
  <si>
    <t xml:space="preserve">ZAAUTO2024-1-00075</t>
  </si>
  <si>
    <t xml:space="preserve">ZAAUTO2024-1-00076</t>
  </si>
  <si>
    <t xml:space="preserve">ZAAUTO2024-1-00077</t>
  </si>
  <si>
    <t xml:space="preserve">ZAAUTO2024-1-00078</t>
  </si>
  <si>
    <t xml:space="preserve">ZAAUTO2024-1-00079</t>
  </si>
  <si>
    <t xml:space="preserve">ZAAUTO2024-1-00080</t>
  </si>
  <si>
    <t xml:space="preserve">ZAAUTO2024-1-00081</t>
  </si>
  <si>
    <t xml:space="preserve">ZAAUTO2024-1-00082</t>
  </si>
  <si>
    <t xml:space="preserve">ZAAUTO2024-1-00083</t>
  </si>
  <si>
    <t xml:space="preserve">ZAAUTO2024-1-00084</t>
  </si>
  <si>
    <t xml:space="preserve">ZAAUTO2024-1-00085</t>
  </si>
  <si>
    <t xml:space="preserve">ZAAUTO2024-1-00086</t>
  </si>
  <si>
    <t xml:space="preserve">ZAAUTO2024-1-00087</t>
  </si>
  <si>
    <t xml:space="preserve">ZAAUTO2024-1-00088</t>
  </si>
  <si>
    <t xml:space="preserve">ZAAUTO2024-1-00089</t>
  </si>
  <si>
    <t xml:space="preserve">ZAAUTO2024-1-00090</t>
  </si>
  <si>
    <t xml:space="preserve">ZAAUTO2024-1-00091</t>
  </si>
  <si>
    <t xml:space="preserve">ZAAUTO2024-1-00092</t>
  </si>
  <si>
    <t xml:space="preserve">ZAAUTO2024-1-00093</t>
  </si>
  <si>
    <t xml:space="preserve">ZAAUTO2024-1-00094</t>
  </si>
  <si>
    <t xml:space="preserve">ZAAUTO2024-1-00095</t>
  </si>
  <si>
    <t xml:space="preserve">ZAAUTO2024-1-00096</t>
  </si>
  <si>
    <t xml:space="preserve">ZAAUTO2024-1-00097</t>
  </si>
  <si>
    <t xml:space="preserve">ZAAUTO2024-1-00098</t>
  </si>
  <si>
    <t xml:space="preserve">ZAAUTO2024-1-00099</t>
  </si>
  <si>
    <t xml:space="preserve">ZAAUTO2024-1-00100</t>
  </si>
  <si>
    <t xml:space="preserve">ZAAUTO2024-1-00101</t>
  </si>
  <si>
    <t xml:space="preserve">ZAAUTO2024-1-00102</t>
  </si>
  <si>
    <t xml:space="preserve">ZAAUTO2024-1-00103</t>
  </si>
  <si>
    <t xml:space="preserve">ZAAUTO2024-1-00104</t>
  </si>
  <si>
    <t xml:space="preserve">ZAAUTO2024-1-00105</t>
  </si>
  <si>
    <t xml:space="preserve">Default</t>
  </si>
  <si>
    <t xml:space="preserve">ZAAUTO2024-1-00106</t>
  </si>
  <si>
    <t xml:space="preserve">ZAAUTO2024-1-00107</t>
  </si>
  <si>
    <t xml:space="preserve">ZAAUTO2024-1-00108</t>
  </si>
  <si>
    <t xml:space="preserve">ZAAUTO2024-1-00109</t>
  </si>
  <si>
    <t xml:space="preserve">ZAAUTO2024-1-00110</t>
  </si>
  <si>
    <t xml:space="preserve">ZAAUTO2024-1-00111</t>
  </si>
  <si>
    <t xml:space="preserve">ZAAUTO2024-1-00112</t>
  </si>
  <si>
    <t xml:space="preserve">ZAAUTO2024-1-00113</t>
  </si>
  <si>
    <t xml:space="preserve">ZAAUTO2024-1-00114</t>
  </si>
  <si>
    <t xml:space="preserve">ZAAUTO2024-1-00115</t>
  </si>
  <si>
    <t xml:space="preserve">ZAAUTO2024-1-00116</t>
  </si>
  <si>
    <t xml:space="preserve">ZAAUTO2024-1-00117</t>
  </si>
  <si>
    <t xml:space="preserve">ZAAUTO2024-1-00118</t>
  </si>
  <si>
    <t xml:space="preserve">ZAAUTO2024-1-00119</t>
  </si>
  <si>
    <t xml:space="preserve">ZAAUTO2024-1-00120</t>
  </si>
  <si>
    <t xml:space="preserve">ZAAUTO2024-1-00121</t>
  </si>
  <si>
    <t xml:space="preserve">ZAAUTO2024-1-00122</t>
  </si>
  <si>
    <t xml:space="preserve">ZAAUTO2024-1-00123</t>
  </si>
  <si>
    <t xml:space="preserve">ZAAUTO2024-1-00124</t>
  </si>
  <si>
    <t xml:space="preserve">ZAAUTO2024-1-00125</t>
  </si>
  <si>
    <t xml:space="preserve">ZAAUTO2024-1-00126</t>
  </si>
  <si>
    <t xml:space="preserve">ZAAUTO2024-1-00127</t>
  </si>
  <si>
    <t xml:space="preserve">ZAAUTO2024-1-00128</t>
  </si>
  <si>
    <t xml:space="preserve">ZAAUTO2024-1-00129</t>
  </si>
  <si>
    <t xml:space="preserve">ZAAUTO2024-1-00130</t>
  </si>
  <si>
    <t xml:space="preserve">ZAAUTO2024-1-00131</t>
  </si>
  <si>
    <t xml:space="preserve">ZAAUTO2024-1-00132</t>
  </si>
  <si>
    <t xml:space="preserve">ZAAUTO2024-1-00133</t>
  </si>
  <si>
    <t xml:space="preserve">ZAAUTO2024-1-00134</t>
  </si>
  <si>
    <t xml:space="preserve">ZAAUTO2024-1-00135</t>
  </si>
  <si>
    <t xml:space="preserve">ZAAUTO2024-1-00136</t>
  </si>
  <si>
    <t xml:space="preserve">ZAAUTO2024-1-00137</t>
  </si>
  <si>
    <t xml:space="preserve">ZAAUTO2024-1-00138</t>
  </si>
  <si>
    <t xml:space="preserve">ZAAUTO2024-1-00139</t>
  </si>
  <si>
    <t xml:space="preserve">ZAAUTO2024-1-00140</t>
  </si>
  <si>
    <t xml:space="preserve">ZAAUTO2024-1-00141</t>
  </si>
  <si>
    <t xml:space="preserve">ZAAUTO2024-1-00142</t>
  </si>
  <si>
    <t xml:space="preserve">ZAAUTO2024-1-00143</t>
  </si>
  <si>
    <t xml:space="preserve">ZAAUTO2024-1-00144</t>
  </si>
  <si>
    <t xml:space="preserve">ZAAUTO2024-1-00145</t>
  </si>
  <si>
    <t xml:space="preserve">ZAAUTO2024-1-00146</t>
  </si>
  <si>
    <t xml:space="preserve">ZAAUTO2024-1-00147</t>
  </si>
  <si>
    <t xml:space="preserve">ZAAUTO2024-1-00148</t>
  </si>
  <si>
    <t xml:space="preserve">ZAAUTO2024-1-00149</t>
  </si>
  <si>
    <t xml:space="preserve">ZAAUTO2024-1-00150</t>
  </si>
  <si>
    <t xml:space="preserve">ZAAUTO2024-1-00151</t>
  </si>
  <si>
    <t xml:space="preserve">ZAAUTO2024-1-00152</t>
  </si>
  <si>
    <t xml:space="preserve">ZAAUTO2024-1-00153</t>
  </si>
  <si>
    <t xml:space="preserve">ZAAUTO2024-1-00154</t>
  </si>
  <si>
    <t xml:space="preserve">ZAAUTO2024-1-00155</t>
  </si>
  <si>
    <t xml:space="preserve">ZAAUTO2024-1-00156</t>
  </si>
  <si>
    <t xml:space="preserve">ZAAUTO2024-1-00157</t>
  </si>
  <si>
    <t xml:space="preserve">ZAAUTO2024-1-00158</t>
  </si>
  <si>
    <t xml:space="preserve">ZAAUTO2024-1-00159</t>
  </si>
  <si>
    <t xml:space="preserve">ZAAUTO2024-1-00160</t>
  </si>
  <si>
    <t xml:space="preserve">ZAAUTO2024-1-00161</t>
  </si>
  <si>
    <t xml:space="preserve">ZAAUTO2024-1-00162</t>
  </si>
  <si>
    <t xml:space="preserve">ZAAUTO2024-1-00163</t>
  </si>
  <si>
    <t xml:space="preserve">ZAAUTO2024-1-00164</t>
  </si>
  <si>
    <t xml:space="preserve">ZAAUTO2024-1-00165</t>
  </si>
  <si>
    <t xml:space="preserve">ZAAUTO2024-1-00166</t>
  </si>
  <si>
    <t xml:space="preserve">ZAAUTO2024-1-00167</t>
  </si>
  <si>
    <t xml:space="preserve">ZAAUTO2024-1-00168</t>
  </si>
  <si>
    <t xml:space="preserve">ZAAUTO2024-1-00169</t>
  </si>
  <si>
    <t xml:space="preserve">ZAAUTO2024-1-00170</t>
  </si>
  <si>
    <t xml:space="preserve">ZAAUTO2024-1-00171</t>
  </si>
  <si>
    <t xml:space="preserve">ZAAUTO2024-1-00172</t>
  </si>
  <si>
    <t xml:space="preserve">ZAAUTO2024-1-00173</t>
  </si>
  <si>
    <t xml:space="preserve">ZAAUTO2024-1-00174</t>
  </si>
  <si>
    <t xml:space="preserve">ZAAUTO2024-1-00175</t>
  </si>
  <si>
    <t xml:space="preserve">ZAAUTO2024-1-00176</t>
  </si>
  <si>
    <t xml:space="preserve">ZAAUTO2024-1-00177</t>
  </si>
  <si>
    <t xml:space="preserve">ZAAUTO2024-1-00178</t>
  </si>
  <si>
    <t xml:space="preserve">ZAAUTO2024-1-00179</t>
  </si>
  <si>
    <t xml:space="preserve">ZAAUTO2024-1-00180</t>
  </si>
  <si>
    <t xml:space="preserve">ZAAUTO2024-1-00181</t>
  </si>
  <si>
    <t xml:space="preserve">ZAAUTO2024-1-00182</t>
  </si>
  <si>
    <t xml:space="preserve">ZAAUTO2024-1-00183</t>
  </si>
  <si>
    <t xml:space="preserve">ZAAUTO2024-1-00184</t>
  </si>
  <si>
    <t xml:space="preserve">ZAAUTO2024-1-00185</t>
  </si>
  <si>
    <t xml:space="preserve">ZAAUTO2024-1-00186</t>
  </si>
  <si>
    <t xml:space="preserve">ZAAUTO2024-1-00187</t>
  </si>
  <si>
    <t xml:space="preserve">ZAAUTO2024-1-00188</t>
  </si>
  <si>
    <t xml:space="preserve">ZAAUTO2024-1-00189</t>
  </si>
  <si>
    <t xml:space="preserve">ZAAUTO2024-1-00190</t>
  </si>
  <si>
    <t xml:space="preserve">ZAAUTO2024-1-00191</t>
  </si>
  <si>
    <t xml:space="preserve">ZAAUTO2024-1-00192</t>
  </si>
  <si>
    <t xml:space="preserve">ZAAUTO2024-1-00193</t>
  </si>
  <si>
    <t xml:space="preserve">ZAAUTO2024-1-00194</t>
  </si>
  <si>
    <t xml:space="preserve">ZAAUTO2024-1-00195</t>
  </si>
  <si>
    <t xml:space="preserve">ZAAUTO2024-1-00196</t>
  </si>
  <si>
    <t xml:space="preserve">ZAAUTO2024-1-00197</t>
  </si>
  <si>
    <t xml:space="preserve">ZAAUTO2024-1-00198</t>
  </si>
  <si>
    <t xml:space="preserve">ZAAUTO2024-1-00199</t>
  </si>
  <si>
    <t xml:space="preserve">ZAAUTO2024-1-00200</t>
  </si>
  <si>
    <t xml:space="preserve">ZAAUTO2024-1-00201</t>
  </si>
  <si>
    <t xml:space="preserve">ZAAUTO2024-1-00202</t>
  </si>
  <si>
    <t xml:space="preserve">ZAAUTO2024-1-00203</t>
  </si>
  <si>
    <t xml:space="preserve">ZAAUTO2024-1-00204</t>
  </si>
  <si>
    <t xml:space="preserve">ZAAUTO2024-1-00205</t>
  </si>
  <si>
    <t xml:space="preserve">ZAAUTO2024-1-00206</t>
  </si>
  <si>
    <t xml:space="preserve">ZAAUTO2024-1-00207</t>
  </si>
  <si>
    <t xml:space="preserve">ZAAUTO2024-1-00208</t>
  </si>
  <si>
    <t xml:space="preserve">ZAAUTO2024-1-00209</t>
  </si>
  <si>
    <t xml:space="preserve">ZAAUTO2024-1-00210</t>
  </si>
  <si>
    <t xml:space="preserve">ZAAUTO2024-1-00211</t>
  </si>
  <si>
    <t xml:space="preserve">ZAAUTO2024-1-00212</t>
  </si>
  <si>
    <t xml:space="preserve">ZAAUTO2024-1-00213</t>
  </si>
  <si>
    <t xml:space="preserve">ZAAUTO2024-1-00214</t>
  </si>
  <si>
    <t xml:space="preserve">ZAAUTO2024-1-00215</t>
  </si>
  <si>
    <t xml:space="preserve">ZAAUTO2024-1-00216</t>
  </si>
  <si>
    <t xml:space="preserve">ZAAUTO2024-1-00217</t>
  </si>
  <si>
    <t xml:space="preserve">ZAAUTO2024-1-00218</t>
  </si>
  <si>
    <t xml:space="preserve">ZAAUTO2024-1-00219</t>
  </si>
  <si>
    <t xml:space="preserve">ZAAUTO2024-1-00220</t>
  </si>
  <si>
    <t xml:space="preserve">ZAAUTO2024-1-00221</t>
  </si>
  <si>
    <t xml:space="preserve">ZAAUTO2024-1-00222</t>
  </si>
  <si>
    <t xml:space="preserve">ZAAUTO2024-1-00223</t>
  </si>
  <si>
    <t xml:space="preserve">ZAAUTO2024-1-00224</t>
  </si>
  <si>
    <t xml:space="preserve">ZAAUTO2024-1-00225</t>
  </si>
  <si>
    <t xml:space="preserve">ZAAUTO2024-1-00226</t>
  </si>
  <si>
    <t xml:space="preserve">ZAAUTO2024-1-00227</t>
  </si>
  <si>
    <t xml:space="preserve">ZAAUTO2024-1-00228</t>
  </si>
  <si>
    <t xml:space="preserve">ZAAUTO2024-1-00229</t>
  </si>
  <si>
    <t xml:space="preserve">ZAAUTO2024-1-00230</t>
  </si>
  <si>
    <t xml:space="preserve">ZAAUTO2024-1-00231</t>
  </si>
  <si>
    <t xml:space="preserve">ZAAUTO2024-1-00232</t>
  </si>
  <si>
    <t xml:space="preserve">ZAAUTO2024-1-00233</t>
  </si>
  <si>
    <t xml:space="preserve">ZAAUTO2024-1-00234</t>
  </si>
  <si>
    <t xml:space="preserve">ZAAUTO2024-1-00235</t>
  </si>
  <si>
    <t xml:space="preserve">ZAAUTO2024-1-00236</t>
  </si>
  <si>
    <t xml:space="preserve">ZAAUTO2024-1-00237</t>
  </si>
  <si>
    <t xml:space="preserve">ZAAUTO2024-1-00238</t>
  </si>
  <si>
    <t xml:space="preserve">ZAAUTO2024-1-00239</t>
  </si>
  <si>
    <t xml:space="preserve">ZAAUTO2024-1-00240</t>
  </si>
  <si>
    <t xml:space="preserve">ZAAUTO2024-1-00241</t>
  </si>
  <si>
    <t xml:space="preserve">ZAAUTO2024-1-00242</t>
  </si>
  <si>
    <t xml:space="preserve">ZAAUTO2024-1-00243</t>
  </si>
  <si>
    <t xml:space="preserve">ZAAUTO2024-1-00244</t>
  </si>
  <si>
    <t xml:space="preserve">ZAAUTO2024-1-00245</t>
  </si>
  <si>
    <t xml:space="preserve">ZAAUTO2024-1-00246</t>
  </si>
  <si>
    <t xml:space="preserve">ZAAUTO2024-1-00247</t>
  </si>
  <si>
    <t xml:space="preserve">ZAAUTO2024-1-00248</t>
  </si>
  <si>
    <t xml:space="preserve">ZAAUTO2024-1-00249</t>
  </si>
  <si>
    <t xml:space="preserve">ZAAUTO2024-1-00250</t>
  </si>
  <si>
    <t xml:space="preserve">ZAAUTO2024-1-00251</t>
  </si>
  <si>
    <t xml:space="preserve">ZAAUTO2024-1-00252</t>
  </si>
  <si>
    <t xml:space="preserve">ZAAUTO2024-1-00253</t>
  </si>
  <si>
    <t xml:space="preserve">ZAAUTO2024-1-00254</t>
  </si>
  <si>
    <t xml:space="preserve">ZAAUTO2024-1-00255</t>
  </si>
  <si>
    <t xml:space="preserve">ZAAUTO2024-1-00256</t>
  </si>
  <si>
    <t xml:space="preserve">ZAAUTO2024-1-00257</t>
  </si>
  <si>
    <t xml:space="preserve">ZAAUTO2024-1-00258</t>
  </si>
  <si>
    <t xml:space="preserve">ZAAUTO2024-1-00259</t>
  </si>
  <si>
    <t xml:space="preserve">ZAAUTO2024-1-00260</t>
  </si>
  <si>
    <t xml:space="preserve">ZAAUTO2024-1-00261</t>
  </si>
  <si>
    <t xml:space="preserve">ZAAUTO2024-1-00262</t>
  </si>
  <si>
    <t xml:space="preserve">ZAAUTO2024-1-00263</t>
  </si>
  <si>
    <t xml:space="preserve">ZAAUTO2024-1-00264</t>
  </si>
  <si>
    <t xml:space="preserve">ZAAUTO2024-1-00265</t>
  </si>
  <si>
    <t xml:space="preserve">ZAAUTO2024-1-00266</t>
  </si>
  <si>
    <t xml:space="preserve">ZAAUTO2024-1-00267</t>
  </si>
  <si>
    <t xml:space="preserve">ZAAUTO2024-1-00268</t>
  </si>
  <si>
    <t xml:space="preserve">ZAAUTO2024-1-00269</t>
  </si>
  <si>
    <t xml:space="preserve">ZAAUTO2024-1-00270</t>
  </si>
  <si>
    <t xml:space="preserve">ZAAUTO2024-1-00271</t>
  </si>
  <si>
    <t xml:space="preserve">ZAAUTO2024-1-00272</t>
  </si>
  <si>
    <t xml:space="preserve">ZAAUTO2024-1-00273</t>
  </si>
  <si>
    <t xml:space="preserve">ZAAUTO2024-1-00274</t>
  </si>
  <si>
    <t xml:space="preserve">ZAAUTO2024-1-00275</t>
  </si>
  <si>
    <t xml:space="preserve">ZAAUTO2024-1-00276</t>
  </si>
  <si>
    <t xml:space="preserve">ZAAUTO2024-1-00277</t>
  </si>
  <si>
    <t xml:space="preserve">ZAAUTO2024-1-00278</t>
  </si>
  <si>
    <t xml:space="preserve">ZAAUTO2024-1-00279</t>
  </si>
  <si>
    <t xml:space="preserve">ZAAUTO2024-1-00280</t>
  </si>
  <si>
    <t xml:space="preserve">ZAAUTO2024-1-00281</t>
  </si>
  <si>
    <t xml:space="preserve">ZAAUTO2024-1-00282</t>
  </si>
  <si>
    <t xml:space="preserve">ZAAUTO2024-1-00283</t>
  </si>
  <si>
    <t xml:space="preserve">ZAAUTO2024-1-00284</t>
  </si>
  <si>
    <t xml:space="preserve">ZAAUTO2024-1-00285</t>
  </si>
  <si>
    <t xml:space="preserve">ZAAUTO2024-1-00286</t>
  </si>
  <si>
    <t xml:space="preserve">ZAAUTO2024-1-00287</t>
  </si>
  <si>
    <t xml:space="preserve">ZAAUTO2024-1-00288</t>
  </si>
  <si>
    <t xml:space="preserve">ZAAUTO2024-1-00289</t>
  </si>
  <si>
    <t xml:space="preserve">ZAAUTO2024-1-00290</t>
  </si>
  <si>
    <t xml:space="preserve">ZAAUTO2024-1-00291</t>
  </si>
  <si>
    <t xml:space="preserve">ZAAUTO2024-1-00292</t>
  </si>
  <si>
    <t xml:space="preserve">ZAAUTO2024-1-00293</t>
  </si>
  <si>
    <t xml:space="preserve">ZAAUTO2024-1-00294</t>
  </si>
  <si>
    <t xml:space="preserve">ZAAUTO2024-1-00295</t>
  </si>
  <si>
    <t xml:space="preserve">ZAAUTO2024-1-00296</t>
  </si>
  <si>
    <t xml:space="preserve">ZAAUTO2024-1-00297</t>
  </si>
  <si>
    <t xml:space="preserve">ZAAUTO2024-1-00298</t>
  </si>
  <si>
    <t xml:space="preserve">ZAAUTO2024-1-00299</t>
  </si>
  <si>
    <t xml:space="preserve">ZAAUTO2024-1-00300</t>
  </si>
  <si>
    <t xml:space="preserve">ZAAUTO2024-1-00301</t>
  </si>
  <si>
    <t xml:space="preserve">ZAAUTO2024-1-00302</t>
  </si>
  <si>
    <t xml:space="preserve">ZAAUTO2024-1-00303</t>
  </si>
  <si>
    <t xml:space="preserve">ZAAUTO2024-1-00304</t>
  </si>
  <si>
    <t xml:space="preserve">ZAAUTO2024-1-00305</t>
  </si>
  <si>
    <t xml:space="preserve">ZAAUTO2024-1-00306</t>
  </si>
  <si>
    <t xml:space="preserve">ZAAUTO2024-1-00307</t>
  </si>
  <si>
    <t xml:space="preserve">ZAAUTO2024-1-00308</t>
  </si>
  <si>
    <t xml:space="preserve">ZAAUTO2024-1-00309</t>
  </si>
  <si>
    <t xml:space="preserve">ZAAUTO2024-1-00310</t>
  </si>
  <si>
    <t xml:space="preserve">ZAAUTO2024-1-00311</t>
  </si>
  <si>
    <t xml:space="preserve">ZAAUTO2024-1-00312</t>
  </si>
  <si>
    <t xml:space="preserve">ZAAUTO2024-1-00313</t>
  </si>
  <si>
    <t xml:space="preserve">ZAAUTO2024-1-00314</t>
  </si>
  <si>
    <t xml:space="preserve">ZAAUTO2024-1-00315</t>
  </si>
  <si>
    <t xml:space="preserve">ZAAUTO2024-1-00316</t>
  </si>
  <si>
    <t xml:space="preserve">ZAAUTO2024-1-00317</t>
  </si>
  <si>
    <t xml:space="preserve">ZAAUTO2024-1-00318</t>
  </si>
  <si>
    <t xml:space="preserve">ZAAUTO2024-1-00319</t>
  </si>
  <si>
    <t xml:space="preserve">ZAAUTO2024-1-00320</t>
  </si>
  <si>
    <t xml:space="preserve">ZAAUTO2024-1-00321</t>
  </si>
  <si>
    <t xml:space="preserve">ZAAUTO2024-1-00322</t>
  </si>
  <si>
    <t xml:space="preserve">ZAAUTO2024-1-00323</t>
  </si>
  <si>
    <t xml:space="preserve">ZAAUTO2024-1-00324</t>
  </si>
  <si>
    <t xml:space="preserve">ZAAUTO2024-1-00325</t>
  </si>
  <si>
    <t xml:space="preserve">ZAAUTO2024-1-00326</t>
  </si>
  <si>
    <t xml:space="preserve">ZAAUTO2024-1-00327</t>
  </si>
  <si>
    <t xml:space="preserve">ZAAUTO2024-1-00328</t>
  </si>
  <si>
    <t xml:space="preserve">ZAAUTO2024-1-00329</t>
  </si>
  <si>
    <t xml:space="preserve">ZAAUTO2024-1-00330</t>
  </si>
  <si>
    <t xml:space="preserve">ZAAUTO2024-1-00331</t>
  </si>
  <si>
    <t xml:space="preserve">ZAAUTO2024-1-00332</t>
  </si>
  <si>
    <t xml:space="preserve">ZAAUTO2024-1-00333</t>
  </si>
  <si>
    <t xml:space="preserve">ZAAUTO2024-1-00334</t>
  </si>
  <si>
    <t xml:space="preserve">ZAAUTO2024-1-00335</t>
  </si>
  <si>
    <t xml:space="preserve">ZAAUTO2024-1-00336</t>
  </si>
  <si>
    <t xml:space="preserve">ZAAUTO2024-1-00337</t>
  </si>
  <si>
    <t xml:space="preserve">ZAAUTO2024-1-00338</t>
  </si>
  <si>
    <t xml:space="preserve">ZAAUTO2024-1-00339</t>
  </si>
  <si>
    <t xml:space="preserve">ZAAUTO2024-1-00340</t>
  </si>
  <si>
    <t xml:space="preserve">ZAAUTO2024-1-00341</t>
  </si>
  <si>
    <t xml:space="preserve">ZAAUTO2024-1-00342</t>
  </si>
  <si>
    <t xml:space="preserve">ZAAUTO2024-1-00343</t>
  </si>
  <si>
    <t xml:space="preserve">ZAAUTO2024-1-00344</t>
  </si>
  <si>
    <t xml:space="preserve">ZAAUTO2024-1-00345</t>
  </si>
  <si>
    <t xml:space="preserve">ZAAUTO2024-1-00346</t>
  </si>
  <si>
    <t xml:space="preserve">ZAAUTO2024-1-00347</t>
  </si>
  <si>
    <t xml:space="preserve">ZAAUTO2024-1-00348</t>
  </si>
  <si>
    <t xml:space="preserve">ZAAUTO2024-1-00349</t>
  </si>
  <si>
    <t xml:space="preserve">ZAAUTO2024-1-00350</t>
  </si>
  <si>
    <t xml:space="preserve">ZAAUTO2024-1-00351</t>
  </si>
  <si>
    <t xml:space="preserve">ZAAUTO2024-1-00352</t>
  </si>
  <si>
    <t xml:space="preserve">ZAAUTO2024-1-00353</t>
  </si>
  <si>
    <t xml:space="preserve">ZAAUTO2024-1-00354</t>
  </si>
  <si>
    <t xml:space="preserve">ZAAUTO2024-1-00355</t>
  </si>
  <si>
    <t xml:space="preserve">ZAAUTO2024-1-00356</t>
  </si>
  <si>
    <t xml:space="preserve">ZAAUTO2024-1-00357</t>
  </si>
  <si>
    <t xml:space="preserve">ZAAUTO2024-1-00358</t>
  </si>
  <si>
    <t xml:space="preserve">ZAAUTO2024-1-00359</t>
  </si>
  <si>
    <t xml:space="preserve">ZAAUTO2024-1-00360</t>
  </si>
  <si>
    <t xml:space="preserve">ZAAUTO2024-1-00361</t>
  </si>
  <si>
    <t xml:space="preserve">ZAAUTO2024-1-00362</t>
  </si>
  <si>
    <t xml:space="preserve">ZAAUTO2024-1-00363</t>
  </si>
  <si>
    <t xml:space="preserve">ZAAUTO2024-1-00364</t>
  </si>
  <si>
    <t xml:space="preserve">ZAAUTO2024-1-00365</t>
  </si>
  <si>
    <t xml:space="preserve">ZAAUTO2024-1-00366</t>
  </si>
  <si>
    <t xml:space="preserve">ZAAUTO2024-1-00367</t>
  </si>
  <si>
    <t xml:space="preserve">ZAAUTO2024-1-00368</t>
  </si>
  <si>
    <t xml:space="preserve">ZAAUTO2024-1-00369</t>
  </si>
  <si>
    <t xml:space="preserve">ZAAUTO2024-1-00370</t>
  </si>
  <si>
    <t xml:space="preserve">ZAAUTO2024-1-00371</t>
  </si>
  <si>
    <t xml:space="preserve">ZAAUTO2024-1-00372</t>
  </si>
  <si>
    <t xml:space="preserve">ZAAUTO2024-1-00373</t>
  </si>
  <si>
    <t xml:space="preserve">ZAAUTO2024-1-00374</t>
  </si>
  <si>
    <t xml:space="preserve">ZAAUTO2024-1-00375</t>
  </si>
  <si>
    <t xml:space="preserve">ZAAUTO2024-1-00376</t>
  </si>
  <si>
    <t xml:space="preserve">ZAAUTO2024-1-00377</t>
  </si>
  <si>
    <t xml:space="preserve">ZAAUTO2024-1-00378</t>
  </si>
  <si>
    <t xml:space="preserve">ZAAUTO2024-1-00379</t>
  </si>
  <si>
    <t xml:space="preserve">ZAAUTO2024-1-00380</t>
  </si>
  <si>
    <t xml:space="preserve">ZAAUTO2024-1-00381</t>
  </si>
  <si>
    <t xml:space="preserve">ZAAUTO2024-1-00382</t>
  </si>
  <si>
    <t xml:space="preserve">ZAAUTO2024-1-00383</t>
  </si>
  <si>
    <t xml:space="preserve">ZAAUTO2024-1-00384</t>
  </si>
  <si>
    <t xml:space="preserve">ZAAUTO2024-1-00385</t>
  </si>
  <si>
    <t xml:space="preserve">ZAAUTO2024-1-00386</t>
  </si>
  <si>
    <t xml:space="preserve">ZAAUTO2024-1-00387</t>
  </si>
  <si>
    <t xml:space="preserve">ZAAUTO2024-1-00388</t>
  </si>
  <si>
    <t xml:space="preserve">ZAAUTO2024-1-00389</t>
  </si>
  <si>
    <t xml:space="preserve">ZAAUTO2024-1-00390</t>
  </si>
  <si>
    <t xml:space="preserve">ZAAUTO2024-1-00391</t>
  </si>
  <si>
    <t xml:space="preserve">ZAAUTO2024-1-00392</t>
  </si>
  <si>
    <t xml:space="preserve">ZAAUTO2024-1-00393</t>
  </si>
  <si>
    <t xml:space="preserve">ZAAUTO2024-1-00394</t>
  </si>
  <si>
    <t xml:space="preserve">ZAAUTO2024-1-00395</t>
  </si>
  <si>
    <t xml:space="preserve">ZAAUTO2024-1-00396</t>
  </si>
  <si>
    <t xml:space="preserve">ZAAUTO2024-1-00397</t>
  </si>
  <si>
    <t xml:space="preserve">ZAAUTO2024-1-00398</t>
  </si>
  <si>
    <t xml:space="preserve">ZAAUTO2024-1-00399</t>
  </si>
  <si>
    <t xml:space="preserve">ZAAUTO2024-1-00400</t>
  </si>
  <si>
    <t xml:space="preserve">Repossessed</t>
  </si>
  <si>
    <t xml:space="preserve">ZAAUTO2024-1-00401</t>
  </si>
  <si>
    <t xml:space="preserve">ZAAUTO2024-1-00402</t>
  </si>
  <si>
    <t xml:space="preserve">ZAAUTO2024-1-00403</t>
  </si>
  <si>
    <t xml:space="preserve">ZAAUTO2024-1-00404</t>
  </si>
  <si>
    <t xml:space="preserve">ZAAUTO2024-1-00405</t>
  </si>
  <si>
    <t xml:space="preserve">ZAAUTO2024-1-00406</t>
  </si>
  <si>
    <t xml:space="preserve">ZAAUTO2024-1-00407</t>
  </si>
  <si>
    <t xml:space="preserve">ZAAUTO2024-1-00408</t>
  </si>
  <si>
    <t xml:space="preserve">ZAAUTO2024-1-00409</t>
  </si>
  <si>
    <t xml:space="preserve">ZAAUTO2024-1-00410</t>
  </si>
  <si>
    <t xml:space="preserve">ZAAUTO2024-1-00411</t>
  </si>
  <si>
    <t xml:space="preserve">ZAAUTO2024-1-00412</t>
  </si>
  <si>
    <t xml:space="preserve">ZAAUTO2024-1-00413</t>
  </si>
  <si>
    <t xml:space="preserve">ZAAUTO2024-1-00414</t>
  </si>
  <si>
    <t xml:space="preserve">ZAAUTO2024-1-00415</t>
  </si>
  <si>
    <t xml:space="preserve">ZAAUTO2024-1-00416</t>
  </si>
  <si>
    <t xml:space="preserve">ZAAUTO2024-1-00417</t>
  </si>
  <si>
    <t xml:space="preserve">ZAAUTO2024-1-00418</t>
  </si>
  <si>
    <t xml:space="preserve">ZAAUTO2024-1-00419</t>
  </si>
  <si>
    <t xml:space="preserve">ZAAUTO2024-1-00420</t>
  </si>
  <si>
    <t xml:space="preserve">ZAAUTO2024-1-00421</t>
  </si>
  <si>
    <t xml:space="preserve">ZAAUTO2024-1-00422</t>
  </si>
  <si>
    <t xml:space="preserve">ZAAUTO2024-1-00423</t>
  </si>
  <si>
    <t xml:space="preserve">ZAAUTO2024-1-00424</t>
  </si>
  <si>
    <t xml:space="preserve">ZAAUTO2024-1-00425</t>
  </si>
  <si>
    <t xml:space="preserve">ZAAUTO2024-1-00426</t>
  </si>
  <si>
    <t xml:space="preserve">ZAAUTO2024-1-00427</t>
  </si>
  <si>
    <t xml:space="preserve">ZAAUTO2024-1-00428</t>
  </si>
  <si>
    <t xml:space="preserve">ZAAUTO2024-1-00429</t>
  </si>
  <si>
    <t xml:space="preserve">ZAAUTO2024-1-00430</t>
  </si>
  <si>
    <t xml:space="preserve">ZAAUTO2024-1-00431</t>
  </si>
  <si>
    <t xml:space="preserve">ZAAUTO2024-1-00432</t>
  </si>
  <si>
    <t xml:space="preserve">ZAAUTO2024-1-00433</t>
  </si>
  <si>
    <t xml:space="preserve">ZAAUTO2024-1-00434</t>
  </si>
  <si>
    <t xml:space="preserve">ZAAUTO2024-1-00435</t>
  </si>
  <si>
    <t xml:space="preserve">ZAAUTO2024-1-00436</t>
  </si>
  <si>
    <t xml:space="preserve">ZAAUTO2024-1-00437</t>
  </si>
  <si>
    <t xml:space="preserve">ZAAUTO2024-1-00438</t>
  </si>
  <si>
    <t xml:space="preserve">ZAAUTO2024-1-00439</t>
  </si>
  <si>
    <t xml:space="preserve">ZAAUTO2024-1-00440</t>
  </si>
  <si>
    <t xml:space="preserve">ZAAUTO2024-1-00441</t>
  </si>
  <si>
    <t xml:space="preserve">ZAAUTO2024-1-00442</t>
  </si>
  <si>
    <t xml:space="preserve">ZAAUTO2024-1-00443</t>
  </si>
  <si>
    <t xml:space="preserve">ZAAUTO2024-1-00444</t>
  </si>
  <si>
    <t xml:space="preserve">ZAAUTO2024-1-00445</t>
  </si>
  <si>
    <t xml:space="preserve">ZAAUTO2024-1-00446</t>
  </si>
  <si>
    <t xml:space="preserve">ZAAUTO2024-1-00447</t>
  </si>
  <si>
    <t xml:space="preserve">ZAAUTO2024-1-00448</t>
  </si>
  <si>
    <t xml:space="preserve">ZAAUTO2024-1-00449</t>
  </si>
  <si>
    <t xml:space="preserve">ZAAUTO2024-1-00450</t>
  </si>
  <si>
    <t xml:space="preserve">ZAAUTO2024-1-00451</t>
  </si>
  <si>
    <t xml:space="preserve">ZAAUTO2024-1-00452</t>
  </si>
  <si>
    <t xml:space="preserve">ZAAUTO2024-1-00453</t>
  </si>
  <si>
    <t xml:space="preserve">ZAAUTO2024-1-00454</t>
  </si>
  <si>
    <t xml:space="preserve">ZAAUTO2024-1-00455</t>
  </si>
  <si>
    <t xml:space="preserve">ZAAUTO2024-1-00456</t>
  </si>
  <si>
    <t xml:space="preserve">ZAAUTO2024-1-00457</t>
  </si>
  <si>
    <t xml:space="preserve">ZAAUTO2024-1-00458</t>
  </si>
  <si>
    <t xml:space="preserve">ZAAUTO2024-1-00459</t>
  </si>
  <si>
    <t xml:space="preserve">ZAAUTO2024-1-00460</t>
  </si>
  <si>
    <t xml:space="preserve">ZAAUTO2024-1-00461</t>
  </si>
  <si>
    <t xml:space="preserve">ZAAUTO2024-1-00462</t>
  </si>
  <si>
    <t xml:space="preserve">ZAAUTO2024-1-00463</t>
  </si>
  <si>
    <t xml:space="preserve">ZAAUTO2024-1-00464</t>
  </si>
  <si>
    <t xml:space="preserve">ZAAUTO2024-1-00465</t>
  </si>
  <si>
    <t xml:space="preserve">ZAAUTO2024-1-00466</t>
  </si>
  <si>
    <t xml:space="preserve">ZAAUTO2024-1-00467</t>
  </si>
  <si>
    <t xml:space="preserve">ZAAUTO2024-1-00468</t>
  </si>
  <si>
    <t xml:space="preserve">ZAAUTO2024-1-00469</t>
  </si>
  <si>
    <t xml:space="preserve">ZAAUTO2024-1-00470</t>
  </si>
  <si>
    <t xml:space="preserve">ZAAUTO2024-1-00471</t>
  </si>
  <si>
    <t xml:space="preserve">ZAAUTO2024-1-00472</t>
  </si>
  <si>
    <t xml:space="preserve">ZAAUTO2024-1-00473</t>
  </si>
  <si>
    <t xml:space="preserve">ZAAUTO2024-1-00474</t>
  </si>
  <si>
    <t xml:space="preserve">ZAAUTO2024-1-00475</t>
  </si>
  <si>
    <t xml:space="preserve">ZAAUTO2024-1-00476</t>
  </si>
  <si>
    <t xml:space="preserve">ZAAUTO2024-1-00477</t>
  </si>
  <si>
    <t xml:space="preserve">ZAAUTO2024-1-00478</t>
  </si>
  <si>
    <t xml:space="preserve">ZAAUTO2024-1-00479</t>
  </si>
  <si>
    <t xml:space="preserve">ZAAUTO2024-1-00480</t>
  </si>
  <si>
    <t xml:space="preserve">ZAAUTO2024-1-00481</t>
  </si>
  <si>
    <t xml:space="preserve">ZAAUTO2024-1-00482</t>
  </si>
  <si>
    <t xml:space="preserve">ZAAUTO2024-1-00483</t>
  </si>
  <si>
    <t xml:space="preserve">ZAAUTO2024-1-00484</t>
  </si>
  <si>
    <t xml:space="preserve">ZAAUTO2024-1-00485</t>
  </si>
  <si>
    <t xml:space="preserve">ZAAUTO2024-1-00486</t>
  </si>
  <si>
    <t xml:space="preserve">ZAAUTO2024-1-00487</t>
  </si>
  <si>
    <t xml:space="preserve">ZAAUTO2024-1-00488</t>
  </si>
  <si>
    <t xml:space="preserve">ZAAUTO2024-1-00489</t>
  </si>
  <si>
    <t xml:space="preserve">ZAAUTO2024-1-00490</t>
  </si>
  <si>
    <t xml:space="preserve">ZAAUTO2024-1-00491</t>
  </si>
  <si>
    <t xml:space="preserve">ZAAUTO2024-1-00492</t>
  </si>
  <si>
    <t xml:space="preserve">ZAAUTO2024-1-00493</t>
  </si>
  <si>
    <t xml:space="preserve">ZAAUTO2024-1-00494</t>
  </si>
  <si>
    <t xml:space="preserve">ZAAUTO2024-1-00495</t>
  </si>
  <si>
    <t xml:space="preserve">ZAAUTO2024-1-00496</t>
  </si>
  <si>
    <t xml:space="preserve">ZAAUTO2024-1-00497</t>
  </si>
  <si>
    <t xml:space="preserve">ZAAUTO2024-1-00498</t>
  </si>
  <si>
    <t xml:space="preserve">ZAAUTO2024-1-00499</t>
  </si>
  <si>
    <t xml:space="preserve">ZAAUTO2024-1-00500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</si>
</sst>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0.0"/>
    <numFmt numFmtId="167" formatCode="#,##0"/>
    <numFmt numFmtId="168" formatCode="0.000%"/>
    <numFmt numFmtId="169" formatCode="0.0000%"/>
    <numFmt numFmtId="170" formatCode="0%"/>
    <numFmt numFmtId="171" formatCode="0.0%"/>
    <numFmt numFmtId="172" formatCode="0.0000"/>
    <numFmt numFmtId="173" formatCode="0.00"/>
    <numFmt numFmtId="174" formatCode="#,##0.00"/>
    <numFmt numFmtId="175" formatCode="#,##0.0000"/>
    <numFmt numFmtId="176" formatCode="0"/>
    <numFmt numFmtId="177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2545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70"/>
    <col collapsed="false" customWidth="true" hidden="false" outlineLevel="0" max="5" min="4" style="1" width="14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0" min="10" style="1" width="10"/>
  </cols>
  <sheetData>
    <row r="1" customFormat="false" ht="17.35" hidden="false" customHeight="false" outlineLevel="0" collapsed="false">
      <c r="A1" s="2" t="s">
        <v>14</v>
      </c>
    </row>
    <row r="3" customFormat="false" ht="15" hidden="false" customHeight="false" outlineLevel="0" collapsed="false">
      <c r="A3" s="3" t="s">
        <v>15</v>
      </c>
      <c r="B3" s="5" t="n">
        <v>0.414719571493537</v>
      </c>
      <c r="C3" s="6" t="s">
        <v>16</v>
      </c>
    </row>
    <row r="4" customFormat="false" ht="15" hidden="false" customHeight="false" outlineLevel="0" collapsed="false">
      <c r="A4" s="3" t="s">
        <v>17</v>
      </c>
      <c r="B4" s="5" t="n">
        <v>0.0357677727884052</v>
      </c>
      <c r="C4" s="6" t="s">
        <v>18</v>
      </c>
    </row>
    <row r="5" customFormat="false" ht="15" hidden="false" customHeight="false" outlineLevel="0" collapsed="false">
      <c r="A5" s="3" t="s">
        <v>19</v>
      </c>
      <c r="B5" s="5" t="n">
        <v>0.0923786607573508</v>
      </c>
      <c r="C5" s="6" t="s">
        <v>20</v>
      </c>
    </row>
    <row r="6" customFormat="false" ht="15" hidden="false" customHeight="false" outlineLevel="0" collapsed="false">
      <c r="A6" s="3" t="s">
        <v>21</v>
      </c>
      <c r="B6" s="5" t="n">
        <v>0.109454508802142</v>
      </c>
      <c r="C6" s="6" t="s">
        <v>22</v>
      </c>
    </row>
    <row r="7" customFormat="false" ht="15" hidden="false" customHeight="false" outlineLevel="0" collapsed="false">
      <c r="A7" s="3" t="s">
        <v>23</v>
      </c>
      <c r="B7" s="7" t="n">
        <v>45.1427812920943</v>
      </c>
      <c r="C7" s="6" t="s">
        <v>24</v>
      </c>
    </row>
    <row r="8" customFormat="false" ht="15" hidden="false" customHeight="false" outlineLevel="0" collapsed="false">
      <c r="A8" s="3" t="s">
        <v>25</v>
      </c>
      <c r="B8" s="8" t="n">
        <v>317785202.14</v>
      </c>
      <c r="C8" s="6" t="s">
        <v>26</v>
      </c>
    </row>
    <row r="9" customFormat="false" ht="15" hidden="false" customHeight="false" outlineLevel="0" collapsed="false">
      <c r="A9" s="3" t="s">
        <v>27</v>
      </c>
      <c r="B9" s="5" t="n">
        <v>0.005</v>
      </c>
      <c r="C9" s="6" t="s">
        <v>28</v>
      </c>
    </row>
    <row r="10" customFormat="false" ht="15" hidden="false" customHeight="false" outlineLevel="0" collapsed="false">
      <c r="A10" s="4" t="s">
        <v>29</v>
      </c>
      <c r="B10" s="9" t="n">
        <v>4</v>
      </c>
      <c r="C10" s="6" t="s">
        <v>30</v>
      </c>
    </row>
    <row r="11" customFormat="false" ht="15" hidden="false" customHeight="false" outlineLevel="0" collapsed="false">
      <c r="A11" s="3" t="s">
        <v>31</v>
      </c>
      <c r="B11" s="10" t="n">
        <f aca="false">INDEX($F$18:$F$23,MATCH($B$10,$A$18:$A$23,0))</f>
        <v>0.12519</v>
      </c>
    </row>
    <row r="12" customFormat="false" ht="15" hidden="false" customHeight="false" outlineLevel="0" collapsed="false">
      <c r="A12" s="3" t="s">
        <v>32</v>
      </c>
      <c r="B12" s="10" t="n">
        <f aca="false">INDEX($G$18:$G$23,MATCH($B$10,$A$18:$A$23,0))</f>
        <v>0.05238</v>
      </c>
    </row>
    <row r="13" customFormat="false" ht="15" hidden="false" customHeight="false" outlineLevel="0" collapsed="false">
      <c r="A13" s="3" t="s">
        <v>33</v>
      </c>
      <c r="B13" s="11" t="n">
        <f aca="false">INDEX($H$18:$H$23,MATCH($B$10,$A$18:$A$23,0))</f>
        <v>0.5647</v>
      </c>
    </row>
    <row r="14" customFormat="false" ht="15" hidden="false" customHeight="false" outlineLevel="0" collapsed="false">
      <c r="A14" s="3" t="s">
        <v>34</v>
      </c>
      <c r="B14" s="12" t="n">
        <f aca="false">1-(1-B11)^(1/12)</f>
        <v>0.011083829917763</v>
      </c>
    </row>
    <row r="15" customFormat="false" ht="15" hidden="false" customHeight="false" outlineLevel="0" collapsed="false">
      <c r="A15" s="3" t="s">
        <v>35</v>
      </c>
      <c r="B15" s="12" t="n">
        <f aca="false">1-(1-B12)^(1/12)</f>
        <v>0.00447343931027433</v>
      </c>
    </row>
    <row r="17" customFormat="false" ht="31.5" hidden="false" customHeight="true" outlineLevel="0" collapsed="false">
      <c r="A17" s="13" t="s">
        <v>36</v>
      </c>
      <c r="B17" s="13" t="s">
        <v>37</v>
      </c>
      <c r="C17" s="13" t="s">
        <v>38</v>
      </c>
      <c r="D17" s="13" t="s">
        <v>39</v>
      </c>
      <c r="E17" s="13" t="s">
        <v>40</v>
      </c>
      <c r="F17" s="13" t="s">
        <v>41</v>
      </c>
      <c r="G17" s="13" t="s">
        <v>42</v>
      </c>
      <c r="H17" s="13" t="s">
        <v>43</v>
      </c>
      <c r="I17" s="13" t="s">
        <v>44</v>
      </c>
      <c r="J17" s="13" t="s">
        <v>45</v>
      </c>
    </row>
    <row r="18" customFormat="false" ht="15" hidden="false" customHeight="false" outlineLevel="0" collapsed="false">
      <c r="A18" s="14" t="n">
        <v>1</v>
      </c>
      <c r="B18" s="14" t="s">
        <v>46</v>
      </c>
      <c r="C18" s="15" t="n">
        <v>0.5</v>
      </c>
      <c r="D18" s="7" t="n">
        <v>1</v>
      </c>
      <c r="E18" s="16" t="n">
        <v>0</v>
      </c>
      <c r="F18" s="10" t="n">
        <f aca="false">ROUND(MIN(0.6,$B$4*D18),5)</f>
        <v>0.03577</v>
      </c>
      <c r="G18" s="10" t="n">
        <f aca="false">ROUND(MAX(0.01,$B$5+E18),5)</f>
        <v>0.09238</v>
      </c>
      <c r="H18" s="11" t="n">
        <f aca="false">ROUND(MIN(0.95,MAX(0.1,$B$3+J18)),4)</f>
        <v>0.4147</v>
      </c>
      <c r="I18" s="7" t="n">
        <v>1</v>
      </c>
      <c r="J18" s="16" t="n">
        <v>0</v>
      </c>
    </row>
    <row r="19" customFormat="false" ht="15" hidden="false" customHeight="false" outlineLevel="0" collapsed="false">
      <c r="A19" s="14" t="n">
        <v>2</v>
      </c>
      <c r="B19" s="14" t="s">
        <v>47</v>
      </c>
      <c r="C19" s="15" t="n">
        <v>0.1</v>
      </c>
      <c r="D19" s="7" t="n">
        <v>0.6</v>
      </c>
      <c r="E19" s="16" t="n">
        <v>0.02</v>
      </c>
      <c r="F19" s="10" t="n">
        <f aca="false">ROUND(MIN(0.6,$B$4*D19),5)</f>
        <v>0.02146</v>
      </c>
      <c r="G19" s="10" t="n">
        <f aca="false">ROUND(MAX(0.01,$B$5+E19),5)</f>
        <v>0.11238</v>
      </c>
      <c r="H19" s="11" t="n">
        <f aca="false">ROUND(MIN(0.95,MAX(0.1,$B$3+J19)),4)</f>
        <v>0.3847</v>
      </c>
      <c r="I19" s="7" t="n">
        <v>0.8</v>
      </c>
      <c r="J19" s="16" t="n">
        <v>-0.03</v>
      </c>
    </row>
    <row r="20" customFormat="false" ht="15" hidden="false" customHeight="false" outlineLevel="0" collapsed="false">
      <c r="A20" s="14" t="n">
        <v>3</v>
      </c>
      <c r="B20" s="14" t="s">
        <v>48</v>
      </c>
      <c r="C20" s="15" t="n">
        <v>0.25</v>
      </c>
      <c r="D20" s="7" t="n">
        <v>2</v>
      </c>
      <c r="E20" s="16" t="n">
        <v>-0.02</v>
      </c>
      <c r="F20" s="10" t="n">
        <f aca="false">ROUND(MIN(0.6,$B$4*D20),5)</f>
        <v>0.07154</v>
      </c>
      <c r="G20" s="10" t="n">
        <f aca="false">ROUND(MAX(0.01,$B$5+E20),5)</f>
        <v>0.07238</v>
      </c>
      <c r="H20" s="11" t="n">
        <f aca="false">ROUND(MIN(0.95,MAX(0.1,$B$3+J20)),4)</f>
        <v>0.4847</v>
      </c>
      <c r="I20" s="7" t="n">
        <v>1.5</v>
      </c>
      <c r="J20" s="16" t="n">
        <v>0.07</v>
      </c>
    </row>
    <row r="21" customFormat="false" ht="15" hidden="false" customHeight="false" outlineLevel="0" collapsed="false">
      <c r="A21" s="14" t="n">
        <v>4</v>
      </c>
      <c r="B21" s="14" t="s">
        <v>49</v>
      </c>
      <c r="C21" s="15" t="n">
        <v>0.15</v>
      </c>
      <c r="D21" s="7" t="n">
        <v>3.5</v>
      </c>
      <c r="E21" s="16" t="n">
        <v>-0.04</v>
      </c>
      <c r="F21" s="10" t="n">
        <f aca="false">ROUND(MIN(0.6,$B$4*D21),5)</f>
        <v>0.12519</v>
      </c>
      <c r="G21" s="10" t="n">
        <f aca="false">ROUND(MAX(0.01,$B$5+E21),5)</f>
        <v>0.05238</v>
      </c>
      <c r="H21" s="11" t="n">
        <f aca="false">ROUND(MIN(0.95,MAX(0.1,$B$3+J21)),4)</f>
        <v>0.5647</v>
      </c>
      <c r="I21" s="7" t="n">
        <v>2.5</v>
      </c>
      <c r="J21" s="16" t="n">
        <v>0.15</v>
      </c>
    </row>
    <row r="22" customFormat="false" ht="15" hidden="false" customHeight="false" outlineLevel="0" collapsed="false">
      <c r="A22" s="14" t="n">
        <v>5</v>
      </c>
      <c r="B22" s="14" t="s">
        <v>50</v>
      </c>
      <c r="C22" s="15" t="n">
        <v>0</v>
      </c>
      <c r="D22" s="7" t="n">
        <v>6</v>
      </c>
      <c r="E22" s="16" t="n">
        <v>-0.06</v>
      </c>
      <c r="F22" s="10" t="n">
        <f aca="false">ROUND(MIN(0.6,$B$4*D22),5)</f>
        <v>0.21461</v>
      </c>
      <c r="G22" s="10" t="n">
        <f aca="false">ROUND(MAX(0.01,$B$5+E22),5)</f>
        <v>0.03238</v>
      </c>
      <c r="H22" s="11" t="n">
        <f aca="false">ROUND(MIN(0.95,MAX(0.1,$B$3+J22)),4)</f>
        <v>0.6647</v>
      </c>
      <c r="I22" s="7" t="n">
        <v>4</v>
      </c>
      <c r="J22" s="16" t="n">
        <v>0.25</v>
      </c>
    </row>
    <row r="23" customFormat="false" ht="15" hidden="false" customHeight="false" outlineLevel="0" collapsed="false">
      <c r="A23" s="14" t="n">
        <v>6</v>
      </c>
      <c r="B23" s="14" t="s">
        <v>51</v>
      </c>
      <c r="C23" s="15" t="n">
        <v>0</v>
      </c>
      <c r="D23" s="7" t="n">
        <v>2</v>
      </c>
      <c r="E23" s="16" t="n">
        <v>-0.03</v>
      </c>
      <c r="F23" s="10" t="n">
        <f aca="false">ROUND(MIN(0.6,$B$4*D23),5)</f>
        <v>0.07154</v>
      </c>
      <c r="G23" s="10" t="n">
        <f aca="false">ROUND(MAX(0.01,$B$5+E23),5)</f>
        <v>0.06238</v>
      </c>
      <c r="H23" s="11" t="n">
        <f aca="false">ROUND(MIN(0.95,MAX(0.1,$B$3+J23)),4)</f>
        <v>0.4447</v>
      </c>
      <c r="I23" s="7" t="n">
        <v>1.6</v>
      </c>
      <c r="J23" s="16" t="n">
        <v>0.03</v>
      </c>
    </row>
    <row r="26" customFormat="false" ht="31.5" hidden="false" customHeight="true" outlineLevel="0" collapsed="false">
      <c r="A26" s="13" t="s">
        <v>52</v>
      </c>
      <c r="B26" s="13" t="s">
        <v>53</v>
      </c>
      <c r="C26" s="13" t="s">
        <v>54</v>
      </c>
      <c r="D26" s="13" t="s">
        <v>55</v>
      </c>
      <c r="E26" s="13" t="s">
        <v>56</v>
      </c>
      <c r="F26" s="13" t="s">
        <v>57</v>
      </c>
    </row>
    <row r="27" customFormat="false" ht="15" hidden="false" customHeight="false" outlineLevel="0" collapsed="false">
      <c r="A27" s="14" t="s">
        <v>58</v>
      </c>
      <c r="B27" s="16" t="n">
        <v>0.8</v>
      </c>
      <c r="C27" s="16" t="n">
        <v>0.07</v>
      </c>
      <c r="D27" s="16" t="n">
        <v>0.2</v>
      </c>
      <c r="E27" s="16" t="n">
        <v>1</v>
      </c>
      <c r="F27" s="6" t="s">
        <v>59</v>
      </c>
    </row>
    <row r="28" customFormat="false" ht="15" hidden="false" customHeight="false" outlineLevel="0" collapsed="false">
      <c r="A28" s="14" t="s">
        <v>60</v>
      </c>
      <c r="B28" s="16" t="n">
        <v>0.12</v>
      </c>
      <c r="C28" s="16" t="n">
        <v>0.085</v>
      </c>
      <c r="D28" s="16" t="n">
        <v>0.08</v>
      </c>
      <c r="E28" s="16" t="n">
        <v>0.2</v>
      </c>
      <c r="F28" s="6" t="s">
        <v>59</v>
      </c>
    </row>
    <row r="29" customFormat="false" ht="15" hidden="false" customHeight="false" outlineLevel="0" collapsed="false">
      <c r="A29" s="14" t="s">
        <v>61</v>
      </c>
      <c r="B29" s="16" t="n">
        <v>0.05</v>
      </c>
      <c r="C29" s="16" t="n">
        <v>0.115</v>
      </c>
      <c r="D29" s="16" t="n">
        <v>0.03</v>
      </c>
      <c r="E29" s="16" t="n">
        <v>0.08</v>
      </c>
      <c r="F29" s="6" t="s">
        <v>59</v>
      </c>
    </row>
    <row r="30" customFormat="false" ht="15" hidden="false" customHeight="false" outlineLevel="0" collapsed="false">
      <c r="A30" s="14" t="s">
        <v>62</v>
      </c>
      <c r="B30" s="16" t="n">
        <v>0.03</v>
      </c>
      <c r="C30" s="16" t="n">
        <v>0</v>
      </c>
      <c r="D30" s="16" t="n">
        <v>0</v>
      </c>
      <c r="E30" s="16" t="n">
        <v>0.03</v>
      </c>
      <c r="F30" s="6" t="s">
        <v>59</v>
      </c>
    </row>
    <row r="31" customFormat="false" ht="15" hidden="false" customHeight="false" outlineLevel="0" collapsed="false">
      <c r="A31" s="3" t="s">
        <v>63</v>
      </c>
      <c r="B31" s="17" t="n">
        <f aca="false">SUM(B27:B30)</f>
        <v>1</v>
      </c>
    </row>
  </sheetData>
  <dataValidations count="1">
    <dataValidation allowBlank="false" errorStyle="stop" operator="between" showDropDown="false" showErrorMessage="false" showInputMessage="false" sqref="B10" type="list">
      <formula1>"1,2,3,4,5,6"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14"/>
  </cols>
  <sheetData>
    <row r="1" customFormat="false" ht="17.35" hidden="false" customHeight="false" outlineLevel="0" collapsed="false">
      <c r="A1" s="2" t="s">
        <v>64</v>
      </c>
    </row>
    <row r="3" customFormat="false" ht="31.5" hidden="false" customHeight="true" outlineLevel="0" collapsed="false">
      <c r="A3" s="13" t="s">
        <v>65</v>
      </c>
      <c r="B3" s="13" t="s">
        <v>66</v>
      </c>
      <c r="C3" s="13" t="s">
        <v>67</v>
      </c>
      <c r="D3" s="13" t="s">
        <v>68</v>
      </c>
      <c r="E3" s="13" t="s">
        <v>69</v>
      </c>
      <c r="F3" s="13" t="s">
        <v>70</v>
      </c>
      <c r="G3" s="13" t="s">
        <v>71</v>
      </c>
      <c r="H3" s="13" t="s">
        <v>72</v>
      </c>
      <c r="I3" s="13" t="s">
        <v>73</v>
      </c>
      <c r="J3" s="13" t="s">
        <v>74</v>
      </c>
    </row>
    <row r="4" customFormat="false" ht="15" hidden="false" customHeight="false" outlineLevel="0" collapsed="false">
      <c r="A4" s="14" t="n">
        <v>1</v>
      </c>
      <c r="B4" s="18" t="n">
        <f aca="false">COUNTIF(ECL_LoanLevel!$B$6:$B$505,A4)</f>
        <v>422</v>
      </c>
      <c r="C4" s="18" t="n">
        <f aca="false">SUMIFS(ECL_LoanLevel!$H$6:$H$505,ECL_LoanLevel!$B$6:$B$505,A4)</f>
        <v>280089277.9</v>
      </c>
      <c r="D4" s="18" t="n">
        <f aca="false">SUMIFS(ECL_LoanLevel!$I$6:$I$505,ECL_LoanLevel!$B$6:$B$505,A4)</f>
        <v>2792098.27</v>
      </c>
      <c r="E4" s="18" t="n">
        <f aca="false">SUMIFS(ECL_LoanLevel!$J$6:$J$505,ECL_LoanLevel!$B$6:$B$505,A4)</f>
        <v>2792098.2410082</v>
      </c>
      <c r="F4" s="18" t="n">
        <f aca="false">E4-D4</f>
        <v>-0.0289918002672493</v>
      </c>
      <c r="G4" s="11" t="n">
        <f aca="false">IF(C4=0,0,D4/C4)</f>
        <v>0.00996860105082944</v>
      </c>
      <c r="H4" s="18" t="n">
        <f aca="false">SUMIFS(ECL_LoanLevel!$O$6:$O$505,ECL_LoanLevel!$B$6:$B$505,A4)</f>
        <v>12568133.300454</v>
      </c>
      <c r="I4" s="11" t="n">
        <f aca="false">IF(C4=0,0,H4/C4)</f>
        <v>0.0448718829749036</v>
      </c>
      <c r="J4" s="17" t="n">
        <f aca="false">IF(D4=0,0,H4/D4-1)</f>
        <v>3.5013219754812</v>
      </c>
    </row>
    <row r="5" customFormat="false" ht="15" hidden="false" customHeight="false" outlineLevel="0" collapsed="false">
      <c r="A5" s="14" t="n">
        <v>2</v>
      </c>
      <c r="B5" s="18" t="n">
        <f aca="false">COUNTIF(ECL_LoanLevel!$B$6:$B$505,A5)</f>
        <v>45</v>
      </c>
      <c r="C5" s="18" t="n">
        <f aca="false">SUMIFS(ECL_LoanLevel!$H$6:$H$505,ECL_LoanLevel!$B$6:$B$505,A5)</f>
        <v>27890556.56</v>
      </c>
      <c r="D5" s="18" t="n">
        <f aca="false">SUMIFS(ECL_LoanLevel!$I$6:$I$505,ECL_LoanLevel!$B$6:$B$505,A5)</f>
        <v>1648395.03</v>
      </c>
      <c r="E5" s="18" t="n">
        <f aca="false">SUMIFS(ECL_LoanLevel!$J$6:$J$505,ECL_LoanLevel!$B$6:$B$505,A5)</f>
        <v>1648395.0303483</v>
      </c>
      <c r="F5" s="18" t="n">
        <f aca="false">E5-D5</f>
        <v>0.000348295317962766</v>
      </c>
      <c r="G5" s="11" t="n">
        <f aca="false">IF(C5=0,0,D5/C5)</f>
        <v>0.0591022637520289</v>
      </c>
      <c r="H5" s="18" t="n">
        <f aca="false">SUMIFS(ECL_LoanLevel!$O$6:$O$505,ECL_LoanLevel!$B$6:$B$505,A5)</f>
        <v>9529024.07498656</v>
      </c>
      <c r="I5" s="11" t="n">
        <f aca="false">IF(C5=0,0,H5/C5)</f>
        <v>0.34165772398579</v>
      </c>
      <c r="J5" s="17" t="n">
        <f aca="false">IF(D5=0,0,H5/D5-1)</f>
        <v>4.78078913219397</v>
      </c>
    </row>
    <row r="6" customFormat="false" ht="15" hidden="false" customHeight="false" outlineLevel="0" collapsed="false">
      <c r="A6" s="14" t="n">
        <v>3</v>
      </c>
      <c r="B6" s="18" t="n">
        <f aca="false">COUNTIF(ECL_LoanLevel!$B$6:$B$505,A6)</f>
        <v>33</v>
      </c>
      <c r="C6" s="18" t="n">
        <f aca="false">SUMIFS(ECL_LoanLevel!$H$6:$H$505,ECL_LoanLevel!$B$6:$B$505,A6)</f>
        <v>18184337.44</v>
      </c>
      <c r="D6" s="18" t="n">
        <f aca="false">SUMIFS(ECL_LoanLevel!$I$6:$I$505,ECL_LoanLevel!$B$6:$B$505,A6)</f>
        <v>7222459.6</v>
      </c>
      <c r="E6" s="18" t="n">
        <f aca="false">SUMIFS(ECL_LoanLevel!$J$6:$J$505,ECL_LoanLevel!$B$6:$B$505,A6)</f>
        <v>7222459.58358473</v>
      </c>
      <c r="F6" s="18" t="n">
        <f aca="false">E6-D6</f>
        <v>-0.0164152728393674</v>
      </c>
      <c r="G6" s="11" t="n">
        <f aca="false">IF(C6=0,0,D6/C6)</f>
        <v>0.397180245022994</v>
      </c>
      <c r="H6" s="18" t="n">
        <f aca="false">SUMIFS(ECL_LoanLevel!$O$6:$O$505,ECL_LoanLevel!$B$6:$B$505,A6)</f>
        <v>7358263.46693871</v>
      </c>
      <c r="I6" s="11" t="n">
        <f aca="false">IF(C6=0,0,H6/C6)</f>
        <v>0.404648422919868</v>
      </c>
      <c r="J6" s="17" t="n">
        <f aca="false">IF(D6=0,0,H6/D6-1)</f>
        <v>0.0188029943343271</v>
      </c>
    </row>
    <row r="7" customFormat="false" ht="15" hidden="false" customHeight="false" outlineLevel="0" collapsed="false">
      <c r="A7" s="4" t="s">
        <v>75</v>
      </c>
      <c r="B7" s="19" t="n">
        <f aca="false">SUM(B4:B6)</f>
        <v>500</v>
      </c>
      <c r="C7" s="19" t="n">
        <f aca="false">SUM(C4:C6)</f>
        <v>326164171.9</v>
      </c>
      <c r="D7" s="19" t="n">
        <f aca="false">SUM(D4:D6)</f>
        <v>11662952.9</v>
      </c>
      <c r="E7" s="19" t="n">
        <f aca="false">SUM(E4:E6)</f>
        <v>11662952.8549412</v>
      </c>
      <c r="F7" s="19" t="n">
        <f aca="false">SUM(F4:F6)</f>
        <v>-0.045058777788654</v>
      </c>
      <c r="G7" s="20" t="n">
        <f aca="false">IF(C7=0,0,D7/C7)</f>
        <v>0.035757921638235</v>
      </c>
      <c r="H7" s="19" t="n">
        <f aca="false">SUM(H4:H6)</f>
        <v>29455420.8423793</v>
      </c>
      <c r="I7" s="20" t="n">
        <f aca="false">IF(C7=0,0,H7/C7)</f>
        <v>0.0903085727374439</v>
      </c>
      <c r="J7" s="21" t="n">
        <f aca="false">IF(D7=0,0,H7/D7-1)</f>
        <v>1.52555429957874</v>
      </c>
    </row>
    <row r="9" customFormat="false" ht="15" hidden="false" customHeight="false" outlineLevel="0" collapsed="false">
      <c r="A9" s="4" t="s">
        <v>76</v>
      </c>
    </row>
    <row r="10" customFormat="false" ht="15" hidden="false" customHeight="false" outlineLevel="0" collapsed="false">
      <c r="A10" s="3" t="s">
        <v>77</v>
      </c>
      <c r="E10" s="22" t="n">
        <f aca="false">MAX(MAX(ECL_LoanLevel!$K$6:$K$505),-MIN(ECL_LoanLevel!$K$6:$K$505))</f>
        <v>0.00498689040023237</v>
      </c>
      <c r="F10" s="4" t="str">
        <f aca="false">IF(E10&lt;0.05,"PASS","FAIL")</f>
        <v>PASS</v>
      </c>
    </row>
    <row r="11" customFormat="false" ht="15" hidden="false" customHeight="false" outlineLevel="0" collapsed="false">
      <c r="A11" s="3" t="s">
        <v>78</v>
      </c>
      <c r="E11" s="22" t="n">
        <f aca="false">MAX(MAX(ECL_LoanLevel!$Q$6:$Q$505),-MIN(ECL_LoanLevel!$Q$6:$Q$505))</f>
        <v>0.00499501442391193</v>
      </c>
      <c r="F11" s="4" t="str">
        <f aca="false">IF(E11&lt;0.05,"PASS","FAIL")</f>
        <v>PASS</v>
      </c>
    </row>
    <row r="12" customFormat="false" ht="15" hidden="false" customHeight="false" outlineLevel="0" collapsed="false">
      <c r="A12" s="3" t="s">
        <v>79</v>
      </c>
      <c r="E12" s="23" t="n">
        <f aca="false">SUM(ECL_LoanLevel!$I$6:$I$505)-D7</f>
        <v>0</v>
      </c>
      <c r="F12" s="4" t="str">
        <f aca="false">IF(ABS(E12)&lt;0.5,"PASS","FAIL")</f>
        <v>PASS</v>
      </c>
    </row>
    <row r="14" customFormat="false" ht="15" hidden="false" customHeight="false" outlineLevel="0" collapsed="false">
      <c r="A14" s="4" t="s">
        <v>80</v>
      </c>
    </row>
    <row r="15" customFormat="false" ht="15" hidden="false" customHeight="false" outlineLevel="0" collapsed="false">
      <c r="A15" s="24" t="s">
        <v>81</v>
      </c>
    </row>
    <row r="16" customFormat="false" ht="15" hidden="false" customHeight="false" outlineLevel="0" collapsed="false">
      <c r="A16" s="24" t="s">
        <v>82</v>
      </c>
    </row>
    <row r="17" customFormat="false" ht="15" hidden="false" customHeight="false" outlineLevel="0" collapsed="false">
      <c r="A17" s="24" t="s">
        <v>83</v>
      </c>
    </row>
    <row r="18" customFormat="false" ht="15" hidden="false" customHeight="false" outlineLevel="0" collapsed="false">
      <c r="A18" s="2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6"/>
  </cols>
  <sheetData>
    <row r="1" customFormat="false" ht="31.5" hidden="false" customHeight="true" outlineLevel="0" collapsed="false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</row>
    <row r="2" customFormat="false" ht="15" hidden="false" customHeight="false" outlineLevel="0" collapsed="false">
      <c r="A2" s="14" t="n">
        <v>1</v>
      </c>
      <c r="B2" s="14" t="n">
        <v>1</v>
      </c>
      <c r="C2" s="25" t="n">
        <v>307311473.63</v>
      </c>
      <c r="D2" s="25" t="n">
        <v>243754433.2</v>
      </c>
      <c r="E2" s="25" t="n">
        <v>38134224.26</v>
      </c>
      <c r="F2" s="25" t="n">
        <v>15889260.11</v>
      </c>
      <c r="G2" s="25" t="n">
        <v>9533556.06</v>
      </c>
    </row>
    <row r="3" customFormat="false" ht="15" hidden="false" customHeight="false" outlineLevel="0" collapsed="false">
      <c r="A3" s="14" t="n">
        <v>1</v>
      </c>
      <c r="B3" s="14" t="n">
        <v>2</v>
      </c>
      <c r="C3" s="25" t="n">
        <v>297030431.5</v>
      </c>
      <c r="D3" s="25" t="n">
        <v>233473391.07</v>
      </c>
      <c r="E3" s="25" t="n">
        <v>38134224.26</v>
      </c>
      <c r="F3" s="25" t="n">
        <v>15889260.11</v>
      </c>
      <c r="G3" s="25" t="n">
        <v>9533556.06</v>
      </c>
    </row>
    <row r="4" customFormat="false" ht="15" hidden="false" customHeight="false" outlineLevel="0" collapsed="false">
      <c r="A4" s="14" t="n">
        <v>1</v>
      </c>
      <c r="B4" s="14" t="n">
        <v>3</v>
      </c>
      <c r="C4" s="25" t="n">
        <v>286939096.03</v>
      </c>
      <c r="D4" s="25" t="n">
        <v>223382055.6</v>
      </c>
      <c r="E4" s="25" t="n">
        <v>38134224.26</v>
      </c>
      <c r="F4" s="25" t="n">
        <v>15889260.11</v>
      </c>
      <c r="G4" s="25" t="n">
        <v>9533556.06</v>
      </c>
    </row>
    <row r="5" customFormat="false" ht="15" hidden="false" customHeight="false" outlineLevel="0" collapsed="false">
      <c r="A5" s="14" t="n">
        <v>1</v>
      </c>
      <c r="B5" s="14" t="n">
        <v>4</v>
      </c>
      <c r="C5" s="25" t="n">
        <v>277034529.83</v>
      </c>
      <c r="D5" s="25" t="n">
        <v>213477489.4</v>
      </c>
      <c r="E5" s="25" t="n">
        <v>38134224.26</v>
      </c>
      <c r="F5" s="25" t="n">
        <v>15889260.11</v>
      </c>
      <c r="G5" s="25" t="n">
        <v>9533556.06</v>
      </c>
    </row>
    <row r="6" customFormat="false" ht="15" hidden="false" customHeight="false" outlineLevel="0" collapsed="false">
      <c r="A6" s="14" t="n">
        <v>1</v>
      </c>
      <c r="B6" s="14" t="n">
        <v>5</v>
      </c>
      <c r="C6" s="25" t="n">
        <v>267313837.27</v>
      </c>
      <c r="D6" s="25" t="n">
        <v>203756796.84</v>
      </c>
      <c r="E6" s="25" t="n">
        <v>38134224.26</v>
      </c>
      <c r="F6" s="25" t="n">
        <v>15889260.11</v>
      </c>
      <c r="G6" s="25" t="n">
        <v>9533556.06</v>
      </c>
    </row>
    <row r="7" customFormat="false" ht="15" hidden="false" customHeight="false" outlineLevel="0" collapsed="false">
      <c r="A7" s="14" t="n">
        <v>1</v>
      </c>
      <c r="B7" s="14" t="n">
        <v>6</v>
      </c>
      <c r="C7" s="25" t="n">
        <v>257774163.91</v>
      </c>
      <c r="D7" s="25" t="n">
        <v>194217123.49</v>
      </c>
      <c r="E7" s="25" t="n">
        <v>38134224.26</v>
      </c>
      <c r="F7" s="25" t="n">
        <v>15889260.11</v>
      </c>
      <c r="G7" s="25" t="n">
        <v>9533556.06</v>
      </c>
    </row>
    <row r="8" customFormat="false" ht="15" hidden="false" customHeight="false" outlineLevel="0" collapsed="false">
      <c r="A8" s="14" t="n">
        <v>1</v>
      </c>
      <c r="B8" s="14" t="n">
        <v>7</v>
      </c>
      <c r="C8" s="25" t="n">
        <v>248412695.95</v>
      </c>
      <c r="D8" s="25" t="n">
        <v>184855655.52</v>
      </c>
      <c r="E8" s="25" t="n">
        <v>38134224.26</v>
      </c>
      <c r="F8" s="25" t="n">
        <v>15889260.11</v>
      </c>
      <c r="G8" s="25" t="n">
        <v>9533556.06</v>
      </c>
    </row>
    <row r="9" customFormat="false" ht="15" hidden="false" customHeight="false" outlineLevel="0" collapsed="false">
      <c r="A9" s="14" t="n">
        <v>1</v>
      </c>
      <c r="B9" s="14" t="n">
        <v>8</v>
      </c>
      <c r="C9" s="25" t="n">
        <v>239226659.65</v>
      </c>
      <c r="D9" s="25" t="n">
        <v>175669619.22</v>
      </c>
      <c r="E9" s="25" t="n">
        <v>38134224.26</v>
      </c>
      <c r="F9" s="25" t="n">
        <v>15889260.11</v>
      </c>
      <c r="G9" s="25" t="n">
        <v>9533556.06</v>
      </c>
    </row>
    <row r="10" customFormat="false" ht="15" hidden="false" customHeight="false" outlineLevel="0" collapsed="false">
      <c r="A10" s="14" t="n">
        <v>1</v>
      </c>
      <c r="B10" s="14" t="n">
        <v>9</v>
      </c>
      <c r="C10" s="25" t="n">
        <v>230213320.84</v>
      </c>
      <c r="D10" s="25" t="n">
        <v>166656280.41</v>
      </c>
      <c r="E10" s="25" t="n">
        <v>38134224.26</v>
      </c>
      <c r="F10" s="25" t="n">
        <v>15889260.11</v>
      </c>
      <c r="G10" s="25" t="n">
        <v>9533556.06</v>
      </c>
    </row>
    <row r="11" customFormat="false" ht="15" hidden="false" customHeight="false" outlineLevel="0" collapsed="false">
      <c r="A11" s="14" t="n">
        <v>1</v>
      </c>
      <c r="B11" s="14" t="n">
        <v>10</v>
      </c>
      <c r="C11" s="25" t="n">
        <v>221369984.34</v>
      </c>
      <c r="D11" s="25" t="n">
        <v>157812943.91</v>
      </c>
      <c r="E11" s="25" t="n">
        <v>38134224.26</v>
      </c>
      <c r="F11" s="25" t="n">
        <v>15889260.11</v>
      </c>
      <c r="G11" s="25" t="n">
        <v>9533556.06</v>
      </c>
    </row>
    <row r="12" customFormat="false" ht="15" hidden="false" customHeight="false" outlineLevel="0" collapsed="false">
      <c r="A12" s="14" t="n">
        <v>1</v>
      </c>
      <c r="B12" s="14" t="n">
        <v>11</v>
      </c>
      <c r="C12" s="25" t="n">
        <v>212693993.45</v>
      </c>
      <c r="D12" s="25" t="n">
        <v>149136953.02</v>
      </c>
      <c r="E12" s="25" t="n">
        <v>38134224.26</v>
      </c>
      <c r="F12" s="25" t="n">
        <v>15889260.11</v>
      </c>
      <c r="G12" s="25" t="n">
        <v>9533556.06</v>
      </c>
    </row>
    <row r="13" customFormat="false" ht="15" hidden="false" customHeight="false" outlineLevel="0" collapsed="false">
      <c r="A13" s="14" t="n">
        <v>1</v>
      </c>
      <c r="B13" s="14" t="n">
        <v>12</v>
      </c>
      <c r="C13" s="25" t="n">
        <v>204182729.45</v>
      </c>
      <c r="D13" s="25" t="n">
        <v>140625689.02</v>
      </c>
      <c r="E13" s="25" t="n">
        <v>38134224.26</v>
      </c>
      <c r="F13" s="25" t="n">
        <v>15889260.11</v>
      </c>
      <c r="G13" s="25" t="n">
        <v>9533556.06</v>
      </c>
    </row>
    <row r="14" customFormat="false" ht="15" hidden="false" customHeight="false" outlineLevel="0" collapsed="false">
      <c r="A14" s="14" t="n">
        <v>1</v>
      </c>
      <c r="B14" s="14" t="n">
        <v>13</v>
      </c>
      <c r="C14" s="25" t="n">
        <v>195833611.03</v>
      </c>
      <c r="D14" s="25" t="n">
        <v>132276570.6</v>
      </c>
      <c r="E14" s="25" t="n">
        <v>38134224.26</v>
      </c>
      <c r="F14" s="25" t="n">
        <v>15889260.11</v>
      </c>
      <c r="G14" s="25" t="n">
        <v>9533556.06</v>
      </c>
    </row>
    <row r="15" customFormat="false" ht="15" hidden="false" customHeight="false" outlineLevel="0" collapsed="false">
      <c r="A15" s="14" t="n">
        <v>1</v>
      </c>
      <c r="B15" s="14" t="n">
        <v>14</v>
      </c>
      <c r="C15" s="25" t="n">
        <v>187644093.83</v>
      </c>
      <c r="D15" s="25" t="n">
        <v>124087053.4</v>
      </c>
      <c r="E15" s="25" t="n">
        <v>38134224.26</v>
      </c>
      <c r="F15" s="25" t="n">
        <v>15889260.11</v>
      </c>
      <c r="G15" s="25" t="n">
        <v>9533556.06</v>
      </c>
    </row>
    <row r="16" customFormat="false" ht="15" hidden="false" customHeight="false" outlineLevel="0" collapsed="false">
      <c r="A16" s="14" t="n">
        <v>1</v>
      </c>
      <c r="B16" s="14" t="n">
        <v>15</v>
      </c>
      <c r="C16" s="25" t="n">
        <v>179611669.93</v>
      </c>
      <c r="D16" s="25" t="n">
        <v>116054629.5</v>
      </c>
      <c r="E16" s="25" t="n">
        <v>38134224.26</v>
      </c>
      <c r="F16" s="25" t="n">
        <v>15889260.11</v>
      </c>
      <c r="G16" s="25" t="n">
        <v>9533556.06</v>
      </c>
    </row>
    <row r="17" customFormat="false" ht="15" hidden="false" customHeight="false" outlineLevel="0" collapsed="false">
      <c r="A17" s="14" t="n">
        <v>1</v>
      </c>
      <c r="B17" s="14" t="n">
        <v>16</v>
      </c>
      <c r="C17" s="25" t="n">
        <v>171733867.34</v>
      </c>
      <c r="D17" s="25" t="n">
        <v>108176826.91</v>
      </c>
      <c r="E17" s="25" t="n">
        <v>38134224.26</v>
      </c>
      <c r="F17" s="25" t="n">
        <v>15889260.11</v>
      </c>
      <c r="G17" s="25" t="n">
        <v>9533556.06</v>
      </c>
    </row>
    <row r="18" customFormat="false" ht="15" hidden="false" customHeight="false" outlineLevel="0" collapsed="false">
      <c r="A18" s="14" t="n">
        <v>1</v>
      </c>
      <c r="B18" s="14" t="n">
        <v>17</v>
      </c>
      <c r="C18" s="25" t="n">
        <v>164008249.53</v>
      </c>
      <c r="D18" s="25" t="n">
        <v>100451209.1</v>
      </c>
      <c r="E18" s="25" t="n">
        <v>38134224.26</v>
      </c>
      <c r="F18" s="25" t="n">
        <v>15889260.11</v>
      </c>
      <c r="G18" s="25" t="n">
        <v>9533556.06</v>
      </c>
    </row>
    <row r="19" customFormat="false" ht="15" hidden="false" customHeight="false" outlineLevel="0" collapsed="false">
      <c r="A19" s="14" t="n">
        <v>1</v>
      </c>
      <c r="B19" s="14" t="n">
        <v>18</v>
      </c>
      <c r="C19" s="25" t="n">
        <v>156432414.93</v>
      </c>
      <c r="D19" s="25" t="n">
        <v>92875374.5</v>
      </c>
      <c r="E19" s="25" t="n">
        <v>38134224.26</v>
      </c>
      <c r="F19" s="25" t="n">
        <v>15889260.11</v>
      </c>
      <c r="G19" s="25" t="n">
        <v>9533556.06</v>
      </c>
    </row>
    <row r="20" customFormat="false" ht="15" hidden="false" customHeight="false" outlineLevel="0" collapsed="false">
      <c r="A20" s="14" t="n">
        <v>1</v>
      </c>
      <c r="B20" s="14" t="n">
        <v>19</v>
      </c>
      <c r="C20" s="25" t="n">
        <v>149003996.46</v>
      </c>
      <c r="D20" s="25" t="n">
        <v>85446956.04</v>
      </c>
      <c r="E20" s="25" t="n">
        <v>38134224.26</v>
      </c>
      <c r="F20" s="25" t="n">
        <v>15889260.11</v>
      </c>
      <c r="G20" s="25" t="n">
        <v>9533556.06</v>
      </c>
    </row>
    <row r="21" customFormat="false" ht="15" hidden="false" customHeight="false" outlineLevel="0" collapsed="false">
      <c r="A21" s="14" t="n">
        <v>1</v>
      </c>
      <c r="B21" s="14" t="n">
        <v>20</v>
      </c>
      <c r="C21" s="25" t="n">
        <v>141720661.1</v>
      </c>
      <c r="D21" s="25" t="n">
        <v>78163620.67</v>
      </c>
      <c r="E21" s="25" t="n">
        <v>38134224.26</v>
      </c>
      <c r="F21" s="25" t="n">
        <v>15889260.11</v>
      </c>
      <c r="G21" s="25" t="n">
        <v>9533556.06</v>
      </c>
    </row>
    <row r="22" customFormat="false" ht="15" hidden="false" customHeight="false" outlineLevel="0" collapsed="false">
      <c r="A22" s="14" t="n">
        <v>1</v>
      </c>
      <c r="B22" s="14" t="n">
        <v>21</v>
      </c>
      <c r="C22" s="25" t="n">
        <v>134580109.35</v>
      </c>
      <c r="D22" s="25" t="n">
        <v>71023068.92</v>
      </c>
      <c r="E22" s="25" t="n">
        <v>38134224.26</v>
      </c>
      <c r="F22" s="25" t="n">
        <v>15889260.11</v>
      </c>
      <c r="G22" s="25" t="n">
        <v>9533556.06</v>
      </c>
    </row>
    <row r="23" customFormat="false" ht="15" hidden="false" customHeight="false" outlineLevel="0" collapsed="false">
      <c r="A23" s="14" t="n">
        <v>1</v>
      </c>
      <c r="B23" s="14" t="n">
        <v>22</v>
      </c>
      <c r="C23" s="25" t="n">
        <v>127580074.83</v>
      </c>
      <c r="D23" s="25" t="n">
        <v>64023034.4</v>
      </c>
      <c r="E23" s="25" t="n">
        <v>38134224.26</v>
      </c>
      <c r="F23" s="25" t="n">
        <v>15889260.11</v>
      </c>
      <c r="G23" s="25" t="n">
        <v>9533556.06</v>
      </c>
    </row>
    <row r="24" customFormat="false" ht="15" hidden="false" customHeight="false" outlineLevel="0" collapsed="false">
      <c r="A24" s="14" t="n">
        <v>1</v>
      </c>
      <c r="B24" s="14" t="n">
        <v>23</v>
      </c>
      <c r="C24" s="25" t="n">
        <v>120718323.82</v>
      </c>
      <c r="D24" s="25" t="n">
        <v>57161283.39</v>
      </c>
      <c r="E24" s="25" t="n">
        <v>38134224.26</v>
      </c>
      <c r="F24" s="25" t="n">
        <v>15889260.11</v>
      </c>
      <c r="G24" s="25" t="n">
        <v>9533556.06</v>
      </c>
    </row>
    <row r="25" customFormat="false" ht="15" hidden="false" customHeight="false" outlineLevel="0" collapsed="false">
      <c r="A25" s="14" t="n">
        <v>1</v>
      </c>
      <c r="B25" s="14" t="n">
        <v>24</v>
      </c>
      <c r="C25" s="25" t="n">
        <v>113992654.81</v>
      </c>
      <c r="D25" s="25" t="n">
        <v>50435614.39</v>
      </c>
      <c r="E25" s="25" t="n">
        <v>38134224.26</v>
      </c>
      <c r="F25" s="25" t="n">
        <v>15889260.11</v>
      </c>
      <c r="G25" s="25" t="n">
        <v>9533556.06</v>
      </c>
    </row>
    <row r="26" customFormat="false" ht="15" hidden="false" customHeight="false" outlineLevel="0" collapsed="false">
      <c r="A26" s="14" t="n">
        <v>1</v>
      </c>
      <c r="B26" s="14" t="n">
        <v>25</v>
      </c>
      <c r="C26" s="25" t="n">
        <v>107400898.06</v>
      </c>
      <c r="D26" s="25" t="n">
        <v>43843857.63</v>
      </c>
      <c r="E26" s="25" t="n">
        <v>38134224.26</v>
      </c>
      <c r="F26" s="25" t="n">
        <v>15889260.11</v>
      </c>
      <c r="G26" s="25" t="n">
        <v>9533556.06</v>
      </c>
    </row>
    <row r="27" customFormat="false" ht="15" hidden="false" customHeight="false" outlineLevel="0" collapsed="false">
      <c r="A27" s="14" t="n">
        <v>1</v>
      </c>
      <c r="B27" s="14" t="n">
        <v>26</v>
      </c>
      <c r="C27" s="25" t="n">
        <v>100940915.16</v>
      </c>
      <c r="D27" s="25" t="n">
        <v>37383874.73</v>
      </c>
      <c r="E27" s="25" t="n">
        <v>38134224.26</v>
      </c>
      <c r="F27" s="25" t="n">
        <v>15889260.11</v>
      </c>
      <c r="G27" s="25" t="n">
        <v>9533556.06</v>
      </c>
    </row>
    <row r="28" customFormat="false" ht="15" hidden="false" customHeight="false" outlineLevel="0" collapsed="false">
      <c r="A28" s="14" t="n">
        <v>1</v>
      </c>
      <c r="B28" s="14" t="n">
        <v>27</v>
      </c>
      <c r="C28" s="25" t="n">
        <v>94610598.62</v>
      </c>
      <c r="D28" s="25" t="n">
        <v>31053558.19</v>
      </c>
      <c r="E28" s="25" t="n">
        <v>38134224.26</v>
      </c>
      <c r="F28" s="25" t="n">
        <v>15889260.11</v>
      </c>
      <c r="G28" s="25" t="n">
        <v>9533556.06</v>
      </c>
    </row>
    <row r="29" customFormat="false" ht="15" hidden="false" customHeight="false" outlineLevel="0" collapsed="false">
      <c r="A29" s="14" t="n">
        <v>1</v>
      </c>
      <c r="B29" s="14" t="n">
        <v>28</v>
      </c>
      <c r="C29" s="25" t="n">
        <v>88407871.42</v>
      </c>
      <c r="D29" s="25" t="n">
        <v>24850830.99</v>
      </c>
      <c r="E29" s="25" t="n">
        <v>38134224.26</v>
      </c>
      <c r="F29" s="25" t="n">
        <v>15889260.11</v>
      </c>
      <c r="G29" s="25" t="n">
        <v>9533556.06</v>
      </c>
    </row>
    <row r="30" customFormat="false" ht="15" hidden="false" customHeight="false" outlineLevel="0" collapsed="false">
      <c r="A30" s="14" t="n">
        <v>1</v>
      </c>
      <c r="B30" s="14" t="n">
        <v>29</v>
      </c>
      <c r="C30" s="25" t="n">
        <v>82330686.63</v>
      </c>
      <c r="D30" s="25" t="n">
        <v>18773646.2</v>
      </c>
      <c r="E30" s="25" t="n">
        <v>38134224.26</v>
      </c>
      <c r="F30" s="25" t="n">
        <v>15889260.11</v>
      </c>
      <c r="G30" s="25" t="n">
        <v>9533556.06</v>
      </c>
    </row>
    <row r="31" customFormat="false" ht="15" hidden="false" customHeight="false" outlineLevel="0" collapsed="false">
      <c r="A31" s="14" t="n">
        <v>1</v>
      </c>
      <c r="B31" s="14" t="n">
        <v>30</v>
      </c>
      <c r="C31" s="25" t="n">
        <v>76377026.97</v>
      </c>
      <c r="D31" s="25" t="n">
        <v>12819986.54</v>
      </c>
      <c r="E31" s="25" t="n">
        <v>38134224.26</v>
      </c>
      <c r="F31" s="25" t="n">
        <v>15889260.11</v>
      </c>
      <c r="G31" s="25" t="n">
        <v>9533556.06</v>
      </c>
    </row>
    <row r="32" customFormat="false" ht="15" hidden="false" customHeight="false" outlineLevel="0" collapsed="false">
      <c r="A32" s="14" t="n">
        <v>1</v>
      </c>
      <c r="B32" s="14" t="n">
        <v>31</v>
      </c>
      <c r="C32" s="25" t="n">
        <v>70544904.42</v>
      </c>
      <c r="D32" s="25" t="n">
        <v>6987863.99</v>
      </c>
      <c r="E32" s="25" t="n">
        <v>38134224.26</v>
      </c>
      <c r="F32" s="25" t="n">
        <v>15889260.11</v>
      </c>
      <c r="G32" s="25" t="n">
        <v>9533556.06</v>
      </c>
    </row>
    <row r="33" customFormat="false" ht="15" hidden="false" customHeight="false" outlineLevel="0" collapsed="false">
      <c r="A33" s="14" t="n">
        <v>1</v>
      </c>
      <c r="B33" s="14" t="n">
        <v>32</v>
      </c>
      <c r="C33" s="25" t="n">
        <v>64832359.81</v>
      </c>
      <c r="D33" s="25" t="n">
        <v>1275319.39</v>
      </c>
      <c r="E33" s="25" t="n">
        <v>38134224.26</v>
      </c>
      <c r="F33" s="25" t="n">
        <v>15889260.11</v>
      </c>
      <c r="G33" s="25" t="n">
        <v>9533556.06</v>
      </c>
    </row>
    <row r="34" customFormat="false" ht="15" hidden="false" customHeight="false" outlineLevel="0" collapsed="false">
      <c r="A34" s="14" t="n">
        <v>1</v>
      </c>
      <c r="B34" s="14" t="n">
        <v>33</v>
      </c>
      <c r="C34" s="25" t="n">
        <v>59237462.44</v>
      </c>
      <c r="D34" s="25" t="n">
        <v>0</v>
      </c>
      <c r="E34" s="25" t="n">
        <v>33814646.27</v>
      </c>
      <c r="F34" s="25" t="n">
        <v>15889260.11</v>
      </c>
      <c r="G34" s="25" t="n">
        <v>9533556.06</v>
      </c>
    </row>
    <row r="35" customFormat="false" ht="15" hidden="false" customHeight="false" outlineLevel="0" collapsed="false">
      <c r="A35" s="14" t="n">
        <v>1</v>
      </c>
      <c r="B35" s="14" t="n">
        <v>34</v>
      </c>
      <c r="C35" s="25" t="n">
        <v>53758309.66</v>
      </c>
      <c r="D35" s="25" t="n">
        <v>0</v>
      </c>
      <c r="E35" s="25" t="n">
        <v>28335493.49</v>
      </c>
      <c r="F35" s="25" t="n">
        <v>15889260.11</v>
      </c>
      <c r="G35" s="25" t="n">
        <v>9533556.06</v>
      </c>
    </row>
    <row r="36" customFormat="false" ht="15" hidden="false" customHeight="false" outlineLevel="0" collapsed="false">
      <c r="A36" s="14" t="n">
        <v>1</v>
      </c>
      <c r="B36" s="14" t="n">
        <v>35</v>
      </c>
      <c r="C36" s="25" t="n">
        <v>48393026.52</v>
      </c>
      <c r="D36" s="25" t="n">
        <v>0</v>
      </c>
      <c r="E36" s="25" t="n">
        <v>22970210.34</v>
      </c>
      <c r="F36" s="25" t="n">
        <v>15889260.11</v>
      </c>
      <c r="G36" s="25" t="n">
        <v>9533556.06</v>
      </c>
    </row>
    <row r="37" customFormat="false" ht="15" hidden="false" customHeight="false" outlineLevel="0" collapsed="false">
      <c r="A37" s="14" t="n">
        <v>1</v>
      </c>
      <c r="B37" s="14" t="n">
        <v>36</v>
      </c>
      <c r="C37" s="25" t="n">
        <v>43139765.36</v>
      </c>
      <c r="D37" s="25" t="n">
        <v>0</v>
      </c>
      <c r="E37" s="25" t="n">
        <v>17716949.19</v>
      </c>
      <c r="F37" s="25" t="n">
        <v>15889260.11</v>
      </c>
      <c r="G37" s="25" t="n">
        <v>9533556.06</v>
      </c>
    </row>
    <row r="38" customFormat="false" ht="15" hidden="false" customHeight="false" outlineLevel="0" collapsed="false">
      <c r="A38" s="14" t="n">
        <v>2</v>
      </c>
      <c r="B38" s="14" t="n">
        <v>1</v>
      </c>
      <c r="C38" s="25" t="n">
        <v>307118177.76</v>
      </c>
      <c r="D38" s="25" t="n">
        <v>243561137.33</v>
      </c>
      <c r="E38" s="25" t="n">
        <v>38134224.26</v>
      </c>
      <c r="F38" s="25" t="n">
        <v>15889260.11</v>
      </c>
      <c r="G38" s="25" t="n">
        <v>9533556.06</v>
      </c>
    </row>
    <row r="39" customFormat="false" ht="15" hidden="false" customHeight="false" outlineLevel="0" collapsed="false">
      <c r="A39" s="14" t="n">
        <v>2</v>
      </c>
      <c r="B39" s="14" t="n">
        <v>2</v>
      </c>
      <c r="C39" s="25" t="n">
        <v>296656890.62</v>
      </c>
      <c r="D39" s="25" t="n">
        <v>233099850.19</v>
      </c>
      <c r="E39" s="25" t="n">
        <v>38134224.26</v>
      </c>
      <c r="F39" s="25" t="n">
        <v>15889260.11</v>
      </c>
      <c r="G39" s="25" t="n">
        <v>9533556.06</v>
      </c>
    </row>
    <row r="40" customFormat="false" ht="15" hidden="false" customHeight="false" outlineLevel="0" collapsed="false">
      <c r="A40" s="14" t="n">
        <v>2</v>
      </c>
      <c r="B40" s="14" t="n">
        <v>3</v>
      </c>
      <c r="C40" s="25" t="n">
        <v>286397990.98</v>
      </c>
      <c r="D40" s="25" t="n">
        <v>222840950.55</v>
      </c>
      <c r="E40" s="25" t="n">
        <v>38134224.26</v>
      </c>
      <c r="F40" s="25" t="n">
        <v>15889260.11</v>
      </c>
      <c r="G40" s="25" t="n">
        <v>9533556.06</v>
      </c>
    </row>
    <row r="41" customFormat="false" ht="15" hidden="false" customHeight="false" outlineLevel="0" collapsed="false">
      <c r="A41" s="14" t="n">
        <v>2</v>
      </c>
      <c r="B41" s="14" t="n">
        <v>4</v>
      </c>
      <c r="C41" s="25" t="n">
        <v>276338179.28</v>
      </c>
      <c r="D41" s="25" t="n">
        <v>212781138.85</v>
      </c>
      <c r="E41" s="25" t="n">
        <v>38134224.26</v>
      </c>
      <c r="F41" s="25" t="n">
        <v>15889260.11</v>
      </c>
      <c r="G41" s="25" t="n">
        <v>9533556.06</v>
      </c>
    </row>
    <row r="42" customFormat="false" ht="15" hidden="false" customHeight="false" outlineLevel="0" collapsed="false">
      <c r="A42" s="14" t="n">
        <v>2</v>
      </c>
      <c r="B42" s="14" t="n">
        <v>5</v>
      </c>
      <c r="C42" s="25" t="n">
        <v>266474205.41</v>
      </c>
      <c r="D42" s="25" t="n">
        <v>202917164.98</v>
      </c>
      <c r="E42" s="25" t="n">
        <v>38134224.26</v>
      </c>
      <c r="F42" s="25" t="n">
        <v>15889260.11</v>
      </c>
      <c r="G42" s="25" t="n">
        <v>9533556.06</v>
      </c>
    </row>
    <row r="43" customFormat="false" ht="15" hidden="false" customHeight="false" outlineLevel="0" collapsed="false">
      <c r="A43" s="14" t="n">
        <v>2</v>
      </c>
      <c r="B43" s="14" t="n">
        <v>6</v>
      </c>
      <c r="C43" s="25" t="n">
        <v>256802868.01</v>
      </c>
      <c r="D43" s="25" t="n">
        <v>193245827.59</v>
      </c>
      <c r="E43" s="25" t="n">
        <v>38134224.26</v>
      </c>
      <c r="F43" s="25" t="n">
        <v>15889260.11</v>
      </c>
      <c r="G43" s="25" t="n">
        <v>9533556.06</v>
      </c>
    </row>
    <row r="44" customFormat="false" ht="15" hidden="false" customHeight="false" outlineLevel="0" collapsed="false">
      <c r="A44" s="14" t="n">
        <v>2</v>
      </c>
      <c r="B44" s="14" t="n">
        <v>7</v>
      </c>
      <c r="C44" s="25" t="n">
        <v>247321013.79</v>
      </c>
      <c r="D44" s="25" t="n">
        <v>183763973.36</v>
      </c>
      <c r="E44" s="25" t="n">
        <v>38134224.26</v>
      </c>
      <c r="F44" s="25" t="n">
        <v>15889260.11</v>
      </c>
      <c r="G44" s="25" t="n">
        <v>9533556.06</v>
      </c>
    </row>
    <row r="45" customFormat="false" ht="15" hidden="false" customHeight="false" outlineLevel="0" collapsed="false">
      <c r="A45" s="14" t="n">
        <v>2</v>
      </c>
      <c r="B45" s="14" t="n">
        <v>8</v>
      </c>
      <c r="C45" s="25" t="n">
        <v>238025536.8</v>
      </c>
      <c r="D45" s="25" t="n">
        <v>174468496.37</v>
      </c>
      <c r="E45" s="25" t="n">
        <v>38134224.26</v>
      </c>
      <c r="F45" s="25" t="n">
        <v>15889260.11</v>
      </c>
      <c r="G45" s="25" t="n">
        <v>9533556.06</v>
      </c>
    </row>
    <row r="46" customFormat="false" ht="15" hidden="false" customHeight="false" outlineLevel="0" collapsed="false">
      <c r="A46" s="14" t="n">
        <v>2</v>
      </c>
      <c r="B46" s="14" t="n">
        <v>9</v>
      </c>
      <c r="C46" s="25" t="n">
        <v>228913377.8</v>
      </c>
      <c r="D46" s="25" t="n">
        <v>165356337.38</v>
      </c>
      <c r="E46" s="25" t="n">
        <v>38134224.26</v>
      </c>
      <c r="F46" s="25" t="n">
        <v>15889260.11</v>
      </c>
      <c r="G46" s="25" t="n">
        <v>9533556.06</v>
      </c>
    </row>
    <row r="47" customFormat="false" ht="15" hidden="false" customHeight="false" outlineLevel="0" collapsed="false">
      <c r="A47" s="14" t="n">
        <v>2</v>
      </c>
      <c r="B47" s="14" t="n">
        <v>10</v>
      </c>
      <c r="C47" s="25" t="n">
        <v>219981523.59</v>
      </c>
      <c r="D47" s="25" t="n">
        <v>156424483.16</v>
      </c>
      <c r="E47" s="25" t="n">
        <v>38134224.26</v>
      </c>
      <c r="F47" s="25" t="n">
        <v>15889260.11</v>
      </c>
      <c r="G47" s="25" t="n">
        <v>9533556.06</v>
      </c>
    </row>
    <row r="48" customFormat="false" ht="15" hidden="false" customHeight="false" outlineLevel="0" collapsed="false">
      <c r="A48" s="14" t="n">
        <v>2</v>
      </c>
      <c r="B48" s="14" t="n">
        <v>11</v>
      </c>
      <c r="C48" s="25" t="n">
        <v>211227006.32</v>
      </c>
      <c r="D48" s="25" t="n">
        <v>147669965.89</v>
      </c>
      <c r="E48" s="25" t="n">
        <v>38134224.26</v>
      </c>
      <c r="F48" s="25" t="n">
        <v>15889260.11</v>
      </c>
      <c r="G48" s="25" t="n">
        <v>9533556.06</v>
      </c>
    </row>
    <row r="49" customFormat="false" ht="15" hidden="false" customHeight="false" outlineLevel="0" collapsed="false">
      <c r="A49" s="14" t="n">
        <v>2</v>
      </c>
      <c r="B49" s="14" t="n">
        <v>12</v>
      </c>
      <c r="C49" s="25" t="n">
        <v>202646902.85</v>
      </c>
      <c r="D49" s="25" t="n">
        <v>139089862.42</v>
      </c>
      <c r="E49" s="25" t="n">
        <v>38134224.26</v>
      </c>
      <c r="F49" s="25" t="n">
        <v>15889260.11</v>
      </c>
      <c r="G49" s="25" t="n">
        <v>9533556.06</v>
      </c>
    </row>
    <row r="50" customFormat="false" ht="15" hidden="false" customHeight="false" outlineLevel="0" collapsed="false">
      <c r="A50" s="14" t="n">
        <v>2</v>
      </c>
      <c r="B50" s="14" t="n">
        <v>13</v>
      </c>
      <c r="C50" s="25" t="n">
        <v>194238334.15</v>
      </c>
      <c r="D50" s="25" t="n">
        <v>130681293.72</v>
      </c>
      <c r="E50" s="25" t="n">
        <v>38134224.26</v>
      </c>
      <c r="F50" s="25" t="n">
        <v>15889260.11</v>
      </c>
      <c r="G50" s="25" t="n">
        <v>9533556.06</v>
      </c>
    </row>
    <row r="51" customFormat="false" ht="15" hidden="false" customHeight="false" outlineLevel="0" collapsed="false">
      <c r="A51" s="14" t="n">
        <v>2</v>
      </c>
      <c r="B51" s="14" t="n">
        <v>14</v>
      </c>
      <c r="C51" s="25" t="n">
        <v>185998464.62</v>
      </c>
      <c r="D51" s="25" t="n">
        <v>122441424.19</v>
      </c>
      <c r="E51" s="25" t="n">
        <v>38134224.26</v>
      </c>
      <c r="F51" s="25" t="n">
        <v>15889260.11</v>
      </c>
      <c r="G51" s="25" t="n">
        <v>9533556.06</v>
      </c>
    </row>
    <row r="52" customFormat="false" ht="15" hidden="false" customHeight="false" outlineLevel="0" collapsed="false">
      <c r="A52" s="14" t="n">
        <v>2</v>
      </c>
      <c r="B52" s="14" t="n">
        <v>15</v>
      </c>
      <c r="C52" s="25" t="n">
        <v>177924501.48</v>
      </c>
      <c r="D52" s="25" t="n">
        <v>114367461.06</v>
      </c>
      <c r="E52" s="25" t="n">
        <v>38134224.26</v>
      </c>
      <c r="F52" s="25" t="n">
        <v>15889260.11</v>
      </c>
      <c r="G52" s="25" t="n">
        <v>9533556.06</v>
      </c>
    </row>
    <row r="53" customFormat="false" ht="15" hidden="false" customHeight="false" outlineLevel="0" collapsed="false">
      <c r="A53" s="14" t="n">
        <v>2</v>
      </c>
      <c r="B53" s="14" t="n">
        <v>16</v>
      </c>
      <c r="C53" s="25" t="n">
        <v>170013694.2</v>
      </c>
      <c r="D53" s="25" t="n">
        <v>106456653.77</v>
      </c>
      <c r="E53" s="25" t="n">
        <v>38134224.26</v>
      </c>
      <c r="F53" s="25" t="n">
        <v>15889260.11</v>
      </c>
      <c r="G53" s="25" t="n">
        <v>9533556.06</v>
      </c>
    </row>
    <row r="54" customFormat="false" ht="15" hidden="false" customHeight="false" outlineLevel="0" collapsed="false">
      <c r="A54" s="14" t="n">
        <v>2</v>
      </c>
      <c r="B54" s="14" t="n">
        <v>17</v>
      </c>
      <c r="C54" s="25" t="n">
        <v>162263333.81</v>
      </c>
      <c r="D54" s="25" t="n">
        <v>98706293.38</v>
      </c>
      <c r="E54" s="25" t="n">
        <v>38134224.26</v>
      </c>
      <c r="F54" s="25" t="n">
        <v>15889260.11</v>
      </c>
      <c r="G54" s="25" t="n">
        <v>9533556.06</v>
      </c>
    </row>
    <row r="55" customFormat="false" ht="15" hidden="false" customHeight="false" outlineLevel="0" collapsed="false">
      <c r="A55" s="14" t="n">
        <v>2</v>
      </c>
      <c r="B55" s="14" t="n">
        <v>18</v>
      </c>
      <c r="C55" s="25" t="n">
        <v>154670752.39</v>
      </c>
      <c r="D55" s="25" t="n">
        <v>91113711.96</v>
      </c>
      <c r="E55" s="25" t="n">
        <v>38134224.26</v>
      </c>
      <c r="F55" s="25" t="n">
        <v>15889260.11</v>
      </c>
      <c r="G55" s="25" t="n">
        <v>9533556.06</v>
      </c>
    </row>
    <row r="56" customFormat="false" ht="15" hidden="false" customHeight="false" outlineLevel="0" collapsed="false">
      <c r="A56" s="14" t="n">
        <v>2</v>
      </c>
      <c r="B56" s="14" t="n">
        <v>19</v>
      </c>
      <c r="C56" s="25" t="n">
        <v>147233322.42</v>
      </c>
      <c r="D56" s="25" t="n">
        <v>83676281.99</v>
      </c>
      <c r="E56" s="25" t="n">
        <v>38134224.26</v>
      </c>
      <c r="F56" s="25" t="n">
        <v>15889260.11</v>
      </c>
      <c r="G56" s="25" t="n">
        <v>9533556.06</v>
      </c>
    </row>
    <row r="57" customFormat="false" ht="15" hidden="false" customHeight="false" outlineLevel="0" collapsed="false">
      <c r="A57" s="14" t="n">
        <v>2</v>
      </c>
      <c r="B57" s="14" t="n">
        <v>20</v>
      </c>
      <c r="C57" s="25" t="n">
        <v>139948456.25</v>
      </c>
      <c r="D57" s="25" t="n">
        <v>76391415.82</v>
      </c>
      <c r="E57" s="25" t="n">
        <v>38134224.26</v>
      </c>
      <c r="F57" s="25" t="n">
        <v>15889260.11</v>
      </c>
      <c r="G57" s="25" t="n">
        <v>9533556.06</v>
      </c>
    </row>
    <row r="58" customFormat="false" ht="15" hidden="false" customHeight="false" outlineLevel="0" collapsed="false">
      <c r="A58" s="14" t="n">
        <v>2</v>
      </c>
      <c r="B58" s="14" t="n">
        <v>21</v>
      </c>
      <c r="C58" s="25" t="n">
        <v>132813605.47</v>
      </c>
      <c r="D58" s="25" t="n">
        <v>69256565.04</v>
      </c>
      <c r="E58" s="25" t="n">
        <v>38134224.26</v>
      </c>
      <c r="F58" s="25" t="n">
        <v>15889260.11</v>
      </c>
      <c r="G58" s="25" t="n">
        <v>9533556.06</v>
      </c>
    </row>
    <row r="59" customFormat="false" ht="15" hidden="false" customHeight="false" outlineLevel="0" collapsed="false">
      <c r="A59" s="14" t="n">
        <v>2</v>
      </c>
      <c r="B59" s="14" t="n">
        <v>22</v>
      </c>
      <c r="C59" s="25" t="n">
        <v>125826260.4</v>
      </c>
      <c r="D59" s="25" t="n">
        <v>62269219.97</v>
      </c>
      <c r="E59" s="25" t="n">
        <v>38134224.26</v>
      </c>
      <c r="F59" s="25" t="n">
        <v>15889260.11</v>
      </c>
      <c r="G59" s="25" t="n">
        <v>9533556.06</v>
      </c>
    </row>
    <row r="60" customFormat="false" ht="15" hidden="false" customHeight="false" outlineLevel="0" collapsed="false">
      <c r="A60" s="14" t="n">
        <v>2</v>
      </c>
      <c r="B60" s="14" t="n">
        <v>23</v>
      </c>
      <c r="C60" s="25" t="n">
        <v>118983949.51</v>
      </c>
      <c r="D60" s="25" t="n">
        <v>55426909.08</v>
      </c>
      <c r="E60" s="25" t="n">
        <v>38134224.26</v>
      </c>
      <c r="F60" s="25" t="n">
        <v>15889260.11</v>
      </c>
      <c r="G60" s="25" t="n">
        <v>9533556.06</v>
      </c>
    </row>
    <row r="61" customFormat="false" ht="15" hidden="false" customHeight="false" outlineLevel="0" collapsed="false">
      <c r="A61" s="14" t="n">
        <v>2</v>
      </c>
      <c r="B61" s="14" t="n">
        <v>24</v>
      </c>
      <c r="C61" s="25" t="n">
        <v>112284238.85</v>
      </c>
      <c r="D61" s="25" t="n">
        <v>48727198.42</v>
      </c>
      <c r="E61" s="25" t="n">
        <v>38134224.26</v>
      </c>
      <c r="F61" s="25" t="n">
        <v>15889260.11</v>
      </c>
      <c r="G61" s="25" t="n">
        <v>9533556.06</v>
      </c>
    </row>
    <row r="62" customFormat="false" ht="15" hidden="false" customHeight="false" outlineLevel="0" collapsed="false">
      <c r="A62" s="14" t="n">
        <v>2</v>
      </c>
      <c r="B62" s="14" t="n">
        <v>25</v>
      </c>
      <c r="C62" s="25" t="n">
        <v>105724731.56</v>
      </c>
      <c r="D62" s="25" t="n">
        <v>42167691.13</v>
      </c>
      <c r="E62" s="25" t="n">
        <v>38134224.26</v>
      </c>
      <c r="F62" s="25" t="n">
        <v>15889260.11</v>
      </c>
      <c r="G62" s="25" t="n">
        <v>9533556.06</v>
      </c>
    </row>
    <row r="63" customFormat="false" ht="15" hidden="false" customHeight="false" outlineLevel="0" collapsed="false">
      <c r="A63" s="14" t="n">
        <v>2</v>
      </c>
      <c r="B63" s="14" t="n">
        <v>26</v>
      </c>
      <c r="C63" s="25" t="n">
        <v>99303067.29</v>
      </c>
      <c r="D63" s="25" t="n">
        <v>35746026.86</v>
      </c>
      <c r="E63" s="25" t="n">
        <v>38134224.26</v>
      </c>
      <c r="F63" s="25" t="n">
        <v>15889260.11</v>
      </c>
      <c r="G63" s="25" t="n">
        <v>9533556.06</v>
      </c>
    </row>
    <row r="64" customFormat="false" ht="15" hidden="false" customHeight="false" outlineLevel="0" collapsed="false">
      <c r="A64" s="14" t="n">
        <v>2</v>
      </c>
      <c r="B64" s="14" t="n">
        <v>27</v>
      </c>
      <c r="C64" s="25" t="n">
        <v>93016921.7</v>
      </c>
      <c r="D64" s="25" t="n">
        <v>29459881.27</v>
      </c>
      <c r="E64" s="25" t="n">
        <v>38134224.26</v>
      </c>
      <c r="F64" s="25" t="n">
        <v>15889260.11</v>
      </c>
      <c r="G64" s="25" t="n">
        <v>9533556.06</v>
      </c>
    </row>
    <row r="65" customFormat="false" ht="15" hidden="false" customHeight="false" outlineLevel="0" collapsed="false">
      <c r="A65" s="14" t="n">
        <v>2</v>
      </c>
      <c r="B65" s="14" t="n">
        <v>28</v>
      </c>
      <c r="C65" s="25" t="n">
        <v>86864005.92</v>
      </c>
      <c r="D65" s="25" t="n">
        <v>23306965.49</v>
      </c>
      <c r="E65" s="25" t="n">
        <v>38134224.26</v>
      </c>
      <c r="F65" s="25" t="n">
        <v>15889260.11</v>
      </c>
      <c r="G65" s="25" t="n">
        <v>9533556.06</v>
      </c>
    </row>
    <row r="66" customFormat="false" ht="15" hidden="false" customHeight="false" outlineLevel="0" collapsed="false">
      <c r="A66" s="14" t="n">
        <v>2</v>
      </c>
      <c r="B66" s="14" t="n">
        <v>29</v>
      </c>
      <c r="C66" s="25" t="n">
        <v>80842066.07</v>
      </c>
      <c r="D66" s="25" t="n">
        <v>17285025.64</v>
      </c>
      <c r="E66" s="25" t="n">
        <v>38134224.26</v>
      </c>
      <c r="F66" s="25" t="n">
        <v>15889260.11</v>
      </c>
      <c r="G66" s="25" t="n">
        <v>9533556.06</v>
      </c>
    </row>
    <row r="67" customFormat="false" ht="15" hidden="false" customHeight="false" outlineLevel="0" collapsed="false">
      <c r="A67" s="14" t="n">
        <v>2</v>
      </c>
      <c r="B67" s="14" t="n">
        <v>30</v>
      </c>
      <c r="C67" s="25" t="n">
        <v>74948882.71</v>
      </c>
      <c r="D67" s="25" t="n">
        <v>11391842.29</v>
      </c>
      <c r="E67" s="25" t="n">
        <v>38134224.26</v>
      </c>
      <c r="F67" s="25" t="n">
        <v>15889260.11</v>
      </c>
      <c r="G67" s="25" t="n">
        <v>9533556.06</v>
      </c>
    </row>
    <row r="68" customFormat="false" ht="15" hidden="false" customHeight="false" outlineLevel="0" collapsed="false">
      <c r="A68" s="14" t="n">
        <v>2</v>
      </c>
      <c r="B68" s="14" t="n">
        <v>31</v>
      </c>
      <c r="C68" s="25" t="n">
        <v>69182270.4</v>
      </c>
      <c r="D68" s="25" t="n">
        <v>5625229.97</v>
      </c>
      <c r="E68" s="25" t="n">
        <v>38134224.26</v>
      </c>
      <c r="F68" s="25" t="n">
        <v>15889260.11</v>
      </c>
      <c r="G68" s="25" t="n">
        <v>9533556.06</v>
      </c>
    </row>
    <row r="69" customFormat="false" ht="15" hidden="false" customHeight="false" outlineLevel="0" collapsed="false">
      <c r="A69" s="14" t="n">
        <v>2</v>
      </c>
      <c r="B69" s="14" t="n">
        <v>32</v>
      </c>
      <c r="C69" s="25" t="n">
        <v>63540077.15</v>
      </c>
      <c r="D69" s="25" t="n">
        <v>0</v>
      </c>
      <c r="E69" s="25" t="n">
        <v>38117260.98</v>
      </c>
      <c r="F69" s="25" t="n">
        <v>15889260.11</v>
      </c>
      <c r="G69" s="25" t="n">
        <v>9533556.06</v>
      </c>
    </row>
    <row r="70" customFormat="false" ht="15" hidden="false" customHeight="false" outlineLevel="0" collapsed="false">
      <c r="A70" s="14" t="n">
        <v>2</v>
      </c>
      <c r="B70" s="14" t="n">
        <v>33</v>
      </c>
      <c r="C70" s="25" t="n">
        <v>58020183.99</v>
      </c>
      <c r="D70" s="25" t="n">
        <v>0</v>
      </c>
      <c r="E70" s="25" t="n">
        <v>32597367.82</v>
      </c>
      <c r="F70" s="25" t="n">
        <v>15889260.11</v>
      </c>
      <c r="G70" s="25" t="n">
        <v>9533556.06</v>
      </c>
    </row>
    <row r="71" customFormat="false" ht="15" hidden="false" customHeight="false" outlineLevel="0" collapsed="false">
      <c r="A71" s="14" t="n">
        <v>2</v>
      </c>
      <c r="B71" s="14" t="n">
        <v>34</v>
      </c>
      <c r="C71" s="25" t="n">
        <v>52620504.44</v>
      </c>
      <c r="D71" s="25" t="n">
        <v>0</v>
      </c>
      <c r="E71" s="25" t="n">
        <v>27197688.26</v>
      </c>
      <c r="F71" s="25" t="n">
        <v>15889260.11</v>
      </c>
      <c r="G71" s="25" t="n">
        <v>9533556.06</v>
      </c>
    </row>
    <row r="72" customFormat="false" ht="15" hidden="false" customHeight="false" outlineLevel="0" collapsed="false">
      <c r="A72" s="14" t="n">
        <v>2</v>
      </c>
      <c r="B72" s="14" t="n">
        <v>35</v>
      </c>
      <c r="C72" s="25" t="n">
        <v>47338984.08</v>
      </c>
      <c r="D72" s="25" t="n">
        <v>0</v>
      </c>
      <c r="E72" s="25" t="n">
        <v>21916167.9</v>
      </c>
      <c r="F72" s="25" t="n">
        <v>15889260.11</v>
      </c>
      <c r="G72" s="25" t="n">
        <v>9533556.06</v>
      </c>
    </row>
    <row r="73" customFormat="false" ht="15" hidden="false" customHeight="false" outlineLevel="0" collapsed="false">
      <c r="A73" s="14" t="n">
        <v>2</v>
      </c>
      <c r="B73" s="14" t="n">
        <v>36</v>
      </c>
      <c r="C73" s="25" t="n">
        <v>42173600.07</v>
      </c>
      <c r="D73" s="25" t="n">
        <v>0</v>
      </c>
      <c r="E73" s="25" t="n">
        <v>16750783.9</v>
      </c>
      <c r="F73" s="25" t="n">
        <v>15889260.11</v>
      </c>
      <c r="G73" s="25" t="n">
        <v>9533556.06</v>
      </c>
    </row>
    <row r="74" customFormat="false" ht="15" hidden="false" customHeight="false" outlineLevel="0" collapsed="false">
      <c r="A74" s="14" t="n">
        <v>3</v>
      </c>
      <c r="B74" s="14" t="n">
        <v>1</v>
      </c>
      <c r="C74" s="25" t="n">
        <v>306901840.03</v>
      </c>
      <c r="D74" s="25" t="n">
        <v>243451726.54</v>
      </c>
      <c r="E74" s="25" t="n">
        <v>38134224.26</v>
      </c>
      <c r="F74" s="25" t="n">
        <v>15889260.11</v>
      </c>
      <c r="G74" s="25" t="n">
        <v>9426629.12</v>
      </c>
    </row>
    <row r="75" customFormat="false" ht="15" hidden="false" customHeight="false" outlineLevel="0" collapsed="false">
      <c r="A75" s="14" t="n">
        <v>3</v>
      </c>
      <c r="B75" s="14" t="n">
        <v>2</v>
      </c>
      <c r="C75" s="25" t="n">
        <v>296239100.47</v>
      </c>
      <c r="D75" s="25" t="n">
        <v>232894644.23</v>
      </c>
      <c r="E75" s="25" t="n">
        <v>38134224.26</v>
      </c>
      <c r="F75" s="25" t="n">
        <v>15889260.11</v>
      </c>
      <c r="G75" s="25" t="n">
        <v>9320971.88</v>
      </c>
    </row>
    <row r="76" customFormat="false" ht="15" hidden="false" customHeight="false" outlineLevel="0" collapsed="false">
      <c r="A76" s="14" t="n">
        <v>3</v>
      </c>
      <c r="B76" s="14" t="n">
        <v>3</v>
      </c>
      <c r="C76" s="25" t="n">
        <v>285793190.66</v>
      </c>
      <c r="D76" s="25" t="n">
        <v>222553152.94</v>
      </c>
      <c r="E76" s="25" t="n">
        <v>38134224.26</v>
      </c>
      <c r="F76" s="25" t="n">
        <v>15889260.11</v>
      </c>
      <c r="G76" s="25" t="n">
        <v>9216553.36</v>
      </c>
    </row>
    <row r="77" customFormat="false" ht="15" hidden="false" customHeight="false" outlineLevel="0" collapsed="false">
      <c r="A77" s="14" t="n">
        <v>3</v>
      </c>
      <c r="B77" s="14" t="n">
        <v>4</v>
      </c>
      <c r="C77" s="25" t="n">
        <v>275560377.88</v>
      </c>
      <c r="D77" s="25" t="n">
        <v>212423550.46</v>
      </c>
      <c r="E77" s="25" t="n">
        <v>38134224.26</v>
      </c>
      <c r="F77" s="25" t="n">
        <v>15889260.11</v>
      </c>
      <c r="G77" s="25" t="n">
        <v>9113343.06</v>
      </c>
    </row>
    <row r="78" customFormat="false" ht="15" hidden="false" customHeight="false" outlineLevel="0" collapsed="false">
      <c r="A78" s="14" t="n">
        <v>3</v>
      </c>
      <c r="B78" s="14" t="n">
        <v>5</v>
      </c>
      <c r="C78" s="25" t="n">
        <v>265536988.57</v>
      </c>
      <c r="D78" s="25" t="n">
        <v>202502193.25</v>
      </c>
      <c r="E78" s="25" t="n">
        <v>38134224.26</v>
      </c>
      <c r="F78" s="25" t="n">
        <v>15889260.11</v>
      </c>
      <c r="G78" s="25" t="n">
        <v>9011310.96</v>
      </c>
    </row>
    <row r="79" customFormat="false" ht="15" hidden="false" customHeight="false" outlineLevel="0" collapsed="false">
      <c r="A79" s="14" t="n">
        <v>3</v>
      </c>
      <c r="B79" s="14" t="n">
        <v>6</v>
      </c>
      <c r="C79" s="25" t="n">
        <v>255719407.46</v>
      </c>
      <c r="D79" s="25" t="n">
        <v>192785495.59</v>
      </c>
      <c r="E79" s="25" t="n">
        <v>38134224.26</v>
      </c>
      <c r="F79" s="25" t="n">
        <v>15889260.11</v>
      </c>
      <c r="G79" s="25" t="n">
        <v>8910427.5</v>
      </c>
    </row>
    <row r="80" customFormat="false" ht="15" hidden="false" customHeight="false" outlineLevel="0" collapsed="false">
      <c r="A80" s="14" t="n">
        <v>3</v>
      </c>
      <c r="B80" s="14" t="n">
        <v>7</v>
      </c>
      <c r="C80" s="25" t="n">
        <v>246104076.65</v>
      </c>
      <c r="D80" s="25" t="n">
        <v>183269928.71</v>
      </c>
      <c r="E80" s="25" t="n">
        <v>38134224.26</v>
      </c>
      <c r="F80" s="25" t="n">
        <v>15889260.11</v>
      </c>
      <c r="G80" s="25" t="n">
        <v>8810663.57</v>
      </c>
    </row>
    <row r="81" customFormat="false" ht="15" hidden="false" customHeight="false" outlineLevel="0" collapsed="false">
      <c r="A81" s="14" t="n">
        <v>3</v>
      </c>
      <c r="B81" s="14" t="n">
        <v>8</v>
      </c>
      <c r="C81" s="25" t="n">
        <v>236687494.79</v>
      </c>
      <c r="D81" s="25" t="n">
        <v>173952019.91</v>
      </c>
      <c r="E81" s="25" t="n">
        <v>38134224.26</v>
      </c>
      <c r="F81" s="25" t="n">
        <v>15889260.11</v>
      </c>
      <c r="G81" s="25" t="n">
        <v>8711990.52</v>
      </c>
    </row>
    <row r="82" customFormat="false" ht="15" hidden="false" customHeight="false" outlineLevel="0" collapsed="false">
      <c r="A82" s="14" t="n">
        <v>3</v>
      </c>
      <c r="B82" s="14" t="n">
        <v>9</v>
      </c>
      <c r="C82" s="25" t="n">
        <v>227466216.21</v>
      </c>
      <c r="D82" s="25" t="n">
        <v>164828351.72</v>
      </c>
      <c r="E82" s="25" t="n">
        <v>38134224.26</v>
      </c>
      <c r="F82" s="25" t="n">
        <v>15889260.11</v>
      </c>
      <c r="G82" s="25" t="n">
        <v>8614380.13</v>
      </c>
    </row>
    <row r="83" customFormat="false" ht="15" hidden="false" customHeight="false" outlineLevel="0" collapsed="false">
      <c r="A83" s="14" t="n">
        <v>3</v>
      </c>
      <c r="B83" s="14" t="n">
        <v>10</v>
      </c>
      <c r="C83" s="25" t="n">
        <v>218436850.06</v>
      </c>
      <c r="D83" s="25" t="n">
        <v>155895561.07</v>
      </c>
      <c r="E83" s="25" t="n">
        <v>38134224.26</v>
      </c>
      <c r="F83" s="25" t="n">
        <v>15889260.11</v>
      </c>
      <c r="G83" s="25" t="n">
        <v>8517804.62</v>
      </c>
    </row>
    <row r="84" customFormat="false" ht="15" hidden="false" customHeight="false" outlineLevel="0" collapsed="false">
      <c r="A84" s="14" t="n">
        <v>3</v>
      </c>
      <c r="B84" s="14" t="n">
        <v>11</v>
      </c>
      <c r="C84" s="25" t="n">
        <v>209596059.49</v>
      </c>
      <c r="D84" s="25" t="n">
        <v>147150338.48</v>
      </c>
      <c r="E84" s="25" t="n">
        <v>38134224.26</v>
      </c>
      <c r="F84" s="25" t="n">
        <v>15889260.11</v>
      </c>
      <c r="G84" s="25" t="n">
        <v>8422236.64</v>
      </c>
    </row>
    <row r="85" customFormat="false" ht="15" hidden="false" customHeight="false" outlineLevel="0" collapsed="false">
      <c r="A85" s="14" t="n">
        <v>3</v>
      </c>
      <c r="B85" s="14" t="n">
        <v>12</v>
      </c>
      <c r="C85" s="25" t="n">
        <v>200940560.84</v>
      </c>
      <c r="D85" s="25" t="n">
        <v>138589427.21</v>
      </c>
      <c r="E85" s="25" t="n">
        <v>38134224.26</v>
      </c>
      <c r="F85" s="25" t="n">
        <v>15889260.11</v>
      </c>
      <c r="G85" s="25" t="n">
        <v>8327649.27</v>
      </c>
    </row>
    <row r="86" customFormat="false" ht="15" hidden="false" customHeight="false" outlineLevel="0" collapsed="false">
      <c r="A86" s="14" t="n">
        <v>3</v>
      </c>
      <c r="B86" s="14" t="n">
        <v>13</v>
      </c>
      <c r="C86" s="25" t="n">
        <v>192467122.86</v>
      </c>
      <c r="D86" s="25" t="n">
        <v>130209622.51</v>
      </c>
      <c r="E86" s="25" t="n">
        <v>38134224.26</v>
      </c>
      <c r="F86" s="25" t="n">
        <v>15889260.11</v>
      </c>
      <c r="G86" s="25" t="n">
        <v>8234015.98</v>
      </c>
    </row>
    <row r="87" customFormat="false" ht="15" hidden="false" customHeight="false" outlineLevel="0" collapsed="false">
      <c r="A87" s="14" t="n">
        <v>3</v>
      </c>
      <c r="B87" s="14" t="n">
        <v>14</v>
      </c>
      <c r="C87" s="25" t="n">
        <v>184172565.84</v>
      </c>
      <c r="D87" s="25" t="n">
        <v>122007770.81</v>
      </c>
      <c r="E87" s="25" t="n">
        <v>38134224.26</v>
      </c>
      <c r="F87" s="25" t="n">
        <v>15889260.11</v>
      </c>
      <c r="G87" s="25" t="n">
        <v>8141310.67</v>
      </c>
    </row>
    <row r="88" customFormat="false" ht="15" hidden="false" customHeight="false" outlineLevel="0" collapsed="false">
      <c r="A88" s="14" t="n">
        <v>3</v>
      </c>
      <c r="B88" s="14" t="n">
        <v>15</v>
      </c>
      <c r="C88" s="25" t="n">
        <v>176053760.91</v>
      </c>
      <c r="D88" s="25" t="n">
        <v>113980768.93</v>
      </c>
      <c r="E88" s="25" t="n">
        <v>38134224.26</v>
      </c>
      <c r="F88" s="25" t="n">
        <v>15889260.11</v>
      </c>
      <c r="G88" s="25" t="n">
        <v>8049507.62</v>
      </c>
    </row>
    <row r="89" customFormat="false" ht="15" hidden="false" customHeight="false" outlineLevel="0" collapsed="false">
      <c r="A89" s="14" t="n">
        <v>3</v>
      </c>
      <c r="B89" s="14" t="n">
        <v>16</v>
      </c>
      <c r="C89" s="25" t="n">
        <v>168107629.23</v>
      </c>
      <c r="D89" s="25" t="n">
        <v>106125563.34</v>
      </c>
      <c r="E89" s="25" t="n">
        <v>38134224.26</v>
      </c>
      <c r="F89" s="25" t="n">
        <v>15889260.11</v>
      </c>
      <c r="G89" s="25" t="n">
        <v>7958581.53</v>
      </c>
    </row>
    <row r="90" customFormat="false" ht="15" hidden="false" customHeight="false" outlineLevel="0" collapsed="false">
      <c r="A90" s="14" t="n">
        <v>3</v>
      </c>
      <c r="B90" s="14" t="n">
        <v>17</v>
      </c>
      <c r="C90" s="25" t="n">
        <v>160331141.23</v>
      </c>
      <c r="D90" s="25" t="n">
        <v>98439149.4</v>
      </c>
      <c r="E90" s="25" t="n">
        <v>38134224.26</v>
      </c>
      <c r="F90" s="25" t="n">
        <v>15889260.11</v>
      </c>
      <c r="G90" s="25" t="n">
        <v>7868507.47</v>
      </c>
    </row>
    <row r="91" customFormat="false" ht="15" hidden="false" customHeight="false" outlineLevel="0" collapsed="false">
      <c r="A91" s="14" t="n">
        <v>3</v>
      </c>
      <c r="B91" s="14" t="n">
        <v>18</v>
      </c>
      <c r="C91" s="25" t="n">
        <v>152721315.87</v>
      </c>
      <c r="D91" s="25" t="n">
        <v>90918570.61</v>
      </c>
      <c r="E91" s="25" t="n">
        <v>38134224.26</v>
      </c>
      <c r="F91" s="25" t="n">
        <v>15889260.11</v>
      </c>
      <c r="G91" s="25" t="n">
        <v>7779260.9</v>
      </c>
    </row>
    <row r="92" customFormat="false" ht="15" hidden="false" customHeight="false" outlineLevel="0" collapsed="false">
      <c r="A92" s="14" t="n">
        <v>3</v>
      </c>
      <c r="B92" s="14" t="n">
        <v>19</v>
      </c>
      <c r="C92" s="25" t="n">
        <v>145275219.91</v>
      </c>
      <c r="D92" s="25" t="n">
        <v>83560917.91</v>
      </c>
      <c r="E92" s="25" t="n">
        <v>38134224.26</v>
      </c>
      <c r="F92" s="25" t="n">
        <v>15889260.11</v>
      </c>
      <c r="G92" s="25" t="n">
        <v>7690817.65</v>
      </c>
    </row>
    <row r="93" customFormat="false" ht="15" hidden="false" customHeight="false" outlineLevel="0" collapsed="false">
      <c r="A93" s="14" t="n">
        <v>3</v>
      </c>
      <c r="B93" s="14" t="n">
        <v>20</v>
      </c>
      <c r="C93" s="25" t="n">
        <v>137989967.17</v>
      </c>
      <c r="D93" s="25" t="n">
        <v>76363328.9</v>
      </c>
      <c r="E93" s="25" t="n">
        <v>38134224.26</v>
      </c>
      <c r="F93" s="25" t="n">
        <v>15889260.11</v>
      </c>
      <c r="G93" s="25" t="n">
        <v>7603153.91</v>
      </c>
    </row>
    <row r="94" customFormat="false" ht="15" hidden="false" customHeight="false" outlineLevel="0" collapsed="false">
      <c r="A94" s="14" t="n">
        <v>3</v>
      </c>
      <c r="B94" s="14" t="n">
        <v>21</v>
      </c>
      <c r="C94" s="25" t="n">
        <v>130862717.82</v>
      </c>
      <c r="D94" s="25" t="n">
        <v>69322987.19</v>
      </c>
      <c r="E94" s="25" t="n">
        <v>38134224.26</v>
      </c>
      <c r="F94" s="25" t="n">
        <v>15889260.11</v>
      </c>
      <c r="G94" s="25" t="n">
        <v>7516246.26</v>
      </c>
    </row>
    <row r="95" customFormat="false" ht="15" hidden="false" customHeight="false" outlineLevel="0" collapsed="false">
      <c r="A95" s="14" t="n">
        <v>3</v>
      </c>
      <c r="B95" s="14" t="n">
        <v>22</v>
      </c>
      <c r="C95" s="25" t="n">
        <v>123890677.66</v>
      </c>
      <c r="D95" s="25" t="n">
        <v>62437121.68</v>
      </c>
      <c r="E95" s="25" t="n">
        <v>38134224.26</v>
      </c>
      <c r="F95" s="25" t="n">
        <v>15889260.11</v>
      </c>
      <c r="G95" s="25" t="n">
        <v>7430071.61</v>
      </c>
    </row>
    <row r="96" customFormat="false" ht="15" hidden="false" customHeight="false" outlineLevel="0" collapsed="false">
      <c r="A96" s="14" t="n">
        <v>3</v>
      </c>
      <c r="B96" s="14" t="n">
        <v>23</v>
      </c>
      <c r="C96" s="25" t="n">
        <v>117071097.48</v>
      </c>
      <c r="D96" s="25" t="n">
        <v>55703005.86</v>
      </c>
      <c r="E96" s="25" t="n">
        <v>38134224.26</v>
      </c>
      <c r="F96" s="25" t="n">
        <v>15889260.11</v>
      </c>
      <c r="G96" s="25" t="n">
        <v>7344607.25</v>
      </c>
    </row>
    <row r="97" customFormat="false" ht="15" hidden="false" customHeight="false" outlineLevel="0" collapsed="false">
      <c r="A97" s="14" t="n">
        <v>3</v>
      </c>
      <c r="B97" s="14" t="n">
        <v>24</v>
      </c>
      <c r="C97" s="25" t="n">
        <v>110401272.29</v>
      </c>
      <c r="D97" s="25" t="n">
        <v>49117957.14</v>
      </c>
      <c r="E97" s="25" t="n">
        <v>38134224.26</v>
      </c>
      <c r="F97" s="25" t="n">
        <v>15889260.11</v>
      </c>
      <c r="G97" s="25" t="n">
        <v>7259830.78</v>
      </c>
    </row>
    <row r="98" customFormat="false" ht="15" hidden="false" customHeight="false" outlineLevel="0" collapsed="false">
      <c r="A98" s="14" t="n">
        <v>3</v>
      </c>
      <c r="B98" s="14" t="n">
        <v>25</v>
      </c>
      <c r="C98" s="25" t="n">
        <v>103878540.72</v>
      </c>
      <c r="D98" s="25" t="n">
        <v>42679336.19</v>
      </c>
      <c r="E98" s="25" t="n">
        <v>38134224.26</v>
      </c>
      <c r="F98" s="25" t="n">
        <v>15889260.11</v>
      </c>
      <c r="G98" s="25" t="n">
        <v>7175720.17</v>
      </c>
    </row>
    <row r="99" customFormat="false" ht="15" hidden="false" customHeight="false" outlineLevel="0" collapsed="false">
      <c r="A99" s="14" t="n">
        <v>3</v>
      </c>
      <c r="B99" s="14" t="n">
        <v>26</v>
      </c>
      <c r="C99" s="25" t="n">
        <v>97500284.32</v>
      </c>
      <c r="D99" s="25" t="n">
        <v>36384546.25</v>
      </c>
      <c r="E99" s="25" t="n">
        <v>38134224.26</v>
      </c>
      <c r="F99" s="25" t="n">
        <v>15889260.11</v>
      </c>
      <c r="G99" s="25" t="n">
        <v>7092253.71</v>
      </c>
    </row>
    <row r="100" customFormat="false" ht="15" hidden="false" customHeight="false" outlineLevel="0" collapsed="false">
      <c r="A100" s="14" t="n">
        <v>3</v>
      </c>
      <c r="B100" s="14" t="n">
        <v>27</v>
      </c>
      <c r="C100" s="25" t="n">
        <v>91263926.92</v>
      </c>
      <c r="D100" s="25" t="n">
        <v>30231032.53</v>
      </c>
      <c r="E100" s="25" t="n">
        <v>38134224.26</v>
      </c>
      <c r="F100" s="25" t="n">
        <v>15889260.11</v>
      </c>
      <c r="G100" s="25" t="n">
        <v>7009410.02</v>
      </c>
    </row>
    <row r="101" customFormat="false" ht="15" hidden="false" customHeight="false" outlineLevel="0" collapsed="false">
      <c r="A101" s="14" t="n">
        <v>3</v>
      </c>
      <c r="B101" s="14" t="n">
        <v>28</v>
      </c>
      <c r="C101" s="25" t="n">
        <v>85166933.95</v>
      </c>
      <c r="D101" s="25" t="n">
        <v>24216281.54</v>
      </c>
      <c r="E101" s="25" t="n">
        <v>38134224.26</v>
      </c>
      <c r="F101" s="25" t="n">
        <v>15889260.11</v>
      </c>
      <c r="G101" s="25" t="n">
        <v>6927168.05</v>
      </c>
    </row>
    <row r="102" customFormat="false" ht="15" hidden="false" customHeight="false" outlineLevel="0" collapsed="false">
      <c r="A102" s="14" t="n">
        <v>3</v>
      </c>
      <c r="B102" s="14" t="n">
        <v>29</v>
      </c>
      <c r="C102" s="25" t="n">
        <v>79206811.86</v>
      </c>
      <c r="D102" s="25" t="n">
        <v>18337820.44</v>
      </c>
      <c r="E102" s="25" t="n">
        <v>38134224.26</v>
      </c>
      <c r="F102" s="25" t="n">
        <v>15889260.11</v>
      </c>
      <c r="G102" s="25" t="n">
        <v>6845507.06</v>
      </c>
    </row>
    <row r="103" customFormat="false" ht="15" hidden="false" customHeight="false" outlineLevel="0" collapsed="false">
      <c r="A103" s="14" t="n">
        <v>3</v>
      </c>
      <c r="B103" s="14" t="n">
        <v>30</v>
      </c>
      <c r="C103" s="25" t="n">
        <v>73381107.46</v>
      </c>
      <c r="D103" s="25" t="n">
        <v>12593216.46</v>
      </c>
      <c r="E103" s="25" t="n">
        <v>38134224.26</v>
      </c>
      <c r="F103" s="25" t="n">
        <v>15889260.11</v>
      </c>
      <c r="G103" s="25" t="n">
        <v>6764406.63</v>
      </c>
    </row>
    <row r="104" customFormat="false" ht="15" hidden="false" customHeight="false" outlineLevel="0" collapsed="false">
      <c r="A104" s="14" t="n">
        <v>3</v>
      </c>
      <c r="B104" s="14" t="n">
        <v>31</v>
      </c>
      <c r="C104" s="25" t="n">
        <v>67687407.29</v>
      </c>
      <c r="D104" s="25" t="n">
        <v>6980076.27</v>
      </c>
      <c r="E104" s="25" t="n">
        <v>38134224.26</v>
      </c>
      <c r="F104" s="25" t="n">
        <v>15889260.11</v>
      </c>
      <c r="G104" s="25" t="n">
        <v>6683846.65</v>
      </c>
    </row>
    <row r="105" customFormat="false" ht="15" hidden="false" customHeight="false" outlineLevel="0" collapsed="false">
      <c r="A105" s="14" t="n">
        <v>3</v>
      </c>
      <c r="B105" s="14" t="n">
        <v>32</v>
      </c>
      <c r="C105" s="25" t="n">
        <v>62123337.05</v>
      </c>
      <c r="D105" s="25" t="n">
        <v>1496045.39</v>
      </c>
      <c r="E105" s="25" t="n">
        <v>38134224.26</v>
      </c>
      <c r="F105" s="25" t="n">
        <v>15889260.11</v>
      </c>
      <c r="G105" s="25" t="n">
        <v>6603807.3</v>
      </c>
    </row>
    <row r="106" customFormat="false" ht="15" hidden="false" customHeight="false" outlineLevel="0" collapsed="false">
      <c r="A106" s="14" t="n">
        <v>3</v>
      </c>
      <c r="B106" s="14" t="n">
        <v>33</v>
      </c>
      <c r="C106" s="25" t="n">
        <v>56686560.97</v>
      </c>
      <c r="D106" s="25" t="n">
        <v>0</v>
      </c>
      <c r="E106" s="25" t="n">
        <v>34273031.8</v>
      </c>
      <c r="F106" s="25" t="n">
        <v>15889260.11</v>
      </c>
      <c r="G106" s="25" t="n">
        <v>6524269.06</v>
      </c>
    </row>
    <row r="107" customFormat="false" ht="15" hidden="false" customHeight="false" outlineLevel="0" collapsed="false">
      <c r="A107" s="14" t="n">
        <v>3</v>
      </c>
      <c r="B107" s="14" t="n">
        <v>34</v>
      </c>
      <c r="C107" s="25" t="n">
        <v>51374781.24</v>
      </c>
      <c r="D107" s="25" t="n">
        <v>0</v>
      </c>
      <c r="E107" s="25" t="n">
        <v>29035481.92</v>
      </c>
      <c r="F107" s="25" t="n">
        <v>15889260.11</v>
      </c>
      <c r="G107" s="25" t="n">
        <v>6450039.21</v>
      </c>
    </row>
    <row r="108" customFormat="false" ht="15" hidden="false" customHeight="false" outlineLevel="0" collapsed="false">
      <c r="A108" s="14" t="n">
        <v>3</v>
      </c>
      <c r="B108" s="14" t="n">
        <v>35</v>
      </c>
      <c r="C108" s="25" t="n">
        <v>46185737.4</v>
      </c>
      <c r="D108" s="25" t="n">
        <v>0</v>
      </c>
      <c r="E108" s="25" t="n">
        <v>23913629.89</v>
      </c>
      <c r="F108" s="25" t="n">
        <v>15889260.11</v>
      </c>
      <c r="G108" s="25" t="n">
        <v>6382847.41</v>
      </c>
    </row>
    <row r="109" customFormat="false" ht="15" hidden="false" customHeight="false" outlineLevel="0" collapsed="false">
      <c r="A109" s="14" t="n">
        <v>3</v>
      </c>
      <c r="B109" s="14" t="n">
        <v>36</v>
      </c>
      <c r="C109" s="25" t="n">
        <v>41117205.82</v>
      </c>
      <c r="D109" s="25" t="n">
        <v>0</v>
      </c>
      <c r="E109" s="25" t="n">
        <v>18905376.98</v>
      </c>
      <c r="F109" s="25" t="n">
        <v>15889260.11</v>
      </c>
      <c r="G109" s="25" t="n">
        <v>6322568.73</v>
      </c>
    </row>
    <row r="110" customFormat="false" ht="15" hidden="false" customHeight="false" outlineLevel="0" collapsed="false">
      <c r="A110" s="14" t="n">
        <v>4</v>
      </c>
      <c r="B110" s="14" t="n">
        <v>1</v>
      </c>
      <c r="C110" s="25" t="n">
        <v>305926698.69</v>
      </c>
      <c r="D110" s="25" t="n">
        <v>243530027.93</v>
      </c>
      <c r="E110" s="25" t="n">
        <v>38134224.26</v>
      </c>
      <c r="F110" s="25" t="n">
        <v>15889260.11</v>
      </c>
      <c r="G110" s="25" t="n">
        <v>8373186.4</v>
      </c>
    </row>
    <row r="111" customFormat="false" ht="15" hidden="false" customHeight="false" outlineLevel="0" collapsed="false">
      <c r="A111" s="14" t="n">
        <v>4</v>
      </c>
      <c r="B111" s="14" t="n">
        <v>2</v>
      </c>
      <c r="C111" s="25" t="n">
        <v>294359567.51</v>
      </c>
      <c r="D111" s="25" t="n">
        <v>233088661.77</v>
      </c>
      <c r="E111" s="25" t="n">
        <v>38134224.26</v>
      </c>
      <c r="F111" s="25" t="n">
        <v>15889260.11</v>
      </c>
      <c r="G111" s="25" t="n">
        <v>7247421.37</v>
      </c>
    </row>
    <row r="112" customFormat="false" ht="15" hidden="false" customHeight="false" outlineLevel="0" collapsed="false">
      <c r="A112" s="14" t="n">
        <v>4</v>
      </c>
      <c r="B112" s="14" t="n">
        <v>3</v>
      </c>
      <c r="C112" s="25" t="n">
        <v>283077623.41</v>
      </c>
      <c r="D112" s="25" t="n">
        <v>222898692.78</v>
      </c>
      <c r="E112" s="25" t="n">
        <v>38134224.26</v>
      </c>
      <c r="F112" s="25" t="n">
        <v>15889260.11</v>
      </c>
      <c r="G112" s="25" t="n">
        <v>6155446.27</v>
      </c>
    </row>
    <row r="113" customFormat="false" ht="15" hidden="false" customHeight="false" outlineLevel="0" collapsed="false">
      <c r="A113" s="14" t="n">
        <v>4</v>
      </c>
      <c r="B113" s="14" t="n">
        <v>4</v>
      </c>
      <c r="C113" s="25" t="n">
        <v>272074802.98</v>
      </c>
      <c r="D113" s="25" t="n">
        <v>212954855.42</v>
      </c>
      <c r="E113" s="25" t="n">
        <v>38134224.26</v>
      </c>
      <c r="F113" s="25" t="n">
        <v>15889260.11</v>
      </c>
      <c r="G113" s="25" t="n">
        <v>5096463.19</v>
      </c>
    </row>
    <row r="114" customFormat="false" ht="15" hidden="false" customHeight="false" outlineLevel="0" collapsed="false">
      <c r="A114" s="14" t="n">
        <v>4</v>
      </c>
      <c r="B114" s="14" t="n">
        <v>5</v>
      </c>
      <c r="C114" s="25" t="n">
        <v>261345162.25</v>
      </c>
      <c r="D114" s="25" t="n">
        <v>203251987.12</v>
      </c>
      <c r="E114" s="25" t="n">
        <v>38134224.26</v>
      </c>
      <c r="F114" s="25" t="n">
        <v>15889260.11</v>
      </c>
      <c r="G114" s="25" t="n">
        <v>4069690.76</v>
      </c>
    </row>
    <row r="115" customFormat="false" ht="15" hidden="false" customHeight="false" outlineLevel="0" collapsed="false">
      <c r="A115" s="14" t="n">
        <v>4</v>
      </c>
      <c r="B115" s="14" t="n">
        <v>6</v>
      </c>
      <c r="C115" s="25" t="n">
        <v>250882874.51</v>
      </c>
      <c r="D115" s="25" t="n">
        <v>193785026.38</v>
      </c>
      <c r="E115" s="25" t="n">
        <v>38134224.26</v>
      </c>
      <c r="F115" s="25" t="n">
        <v>15889260.11</v>
      </c>
      <c r="G115" s="25" t="n">
        <v>3074363.77</v>
      </c>
    </row>
    <row r="116" customFormat="false" ht="15" hidden="false" customHeight="false" outlineLevel="0" collapsed="false">
      <c r="A116" s="14" t="n">
        <v>4</v>
      </c>
      <c r="B116" s="14" t="n">
        <v>7</v>
      </c>
      <c r="C116" s="25" t="n">
        <v>240682228.07</v>
      </c>
      <c r="D116" s="25" t="n">
        <v>184549010.84</v>
      </c>
      <c r="E116" s="25" t="n">
        <v>38134224.26</v>
      </c>
      <c r="F116" s="25" t="n">
        <v>15889260.11</v>
      </c>
      <c r="G116" s="25" t="n">
        <v>2109732.86</v>
      </c>
    </row>
    <row r="117" customFormat="false" ht="15" hidden="false" customHeight="false" outlineLevel="0" collapsed="false">
      <c r="A117" s="14" t="n">
        <v>4</v>
      </c>
      <c r="B117" s="14" t="n">
        <v>8</v>
      </c>
      <c r="C117" s="25" t="n">
        <v>230737624.07</v>
      </c>
      <c r="D117" s="25" t="n">
        <v>175539075.45</v>
      </c>
      <c r="E117" s="25" t="n">
        <v>38134224.26</v>
      </c>
      <c r="F117" s="25" t="n">
        <v>15889260.11</v>
      </c>
      <c r="G117" s="25" t="n">
        <v>1175064.26</v>
      </c>
    </row>
    <row r="118" customFormat="false" ht="15" hidden="false" customHeight="false" outlineLevel="0" collapsed="false">
      <c r="A118" s="14" t="n">
        <v>4</v>
      </c>
      <c r="B118" s="14" t="n">
        <v>9</v>
      </c>
      <c r="C118" s="25" t="n">
        <v>221043574.4</v>
      </c>
      <c r="D118" s="25" t="n">
        <v>166750450.61</v>
      </c>
      <c r="E118" s="25" t="n">
        <v>38134224.26</v>
      </c>
      <c r="F118" s="25" t="n">
        <v>15889260.11</v>
      </c>
      <c r="G118" s="25" t="n">
        <v>269639.42</v>
      </c>
    </row>
    <row r="119" customFormat="false" ht="15" hidden="false" customHeight="false" outlineLevel="0" collapsed="false">
      <c r="A119" s="14" t="n">
        <v>4</v>
      </c>
      <c r="B119" s="14" t="n">
        <v>10</v>
      </c>
      <c r="C119" s="25" t="n">
        <v>211594699.59</v>
      </c>
      <c r="D119" s="25" t="n">
        <v>158178460.44</v>
      </c>
      <c r="E119" s="25" t="n">
        <v>38134224.26</v>
      </c>
      <c r="F119" s="25" t="n">
        <v>15282014.89</v>
      </c>
      <c r="G119" s="25" t="n">
        <v>0</v>
      </c>
    </row>
    <row r="120" customFormat="false" ht="15" hidden="false" customHeight="false" outlineLevel="0" collapsed="false">
      <c r="A120" s="14" t="n">
        <v>4</v>
      </c>
      <c r="B120" s="14" t="n">
        <v>11</v>
      </c>
      <c r="C120" s="25" t="n">
        <v>202385726.75</v>
      </c>
      <c r="D120" s="25" t="n">
        <v>149812701.53</v>
      </c>
      <c r="E120" s="25" t="n">
        <v>38134224.26</v>
      </c>
      <c r="F120" s="25" t="n">
        <v>14438800.96</v>
      </c>
      <c r="G120" s="25" t="n">
        <v>0</v>
      </c>
    </row>
    <row r="121" customFormat="false" ht="15" hidden="false" customHeight="false" outlineLevel="0" collapsed="false">
      <c r="A121" s="14" t="n">
        <v>4</v>
      </c>
      <c r="B121" s="14" t="n">
        <v>12</v>
      </c>
      <c r="C121" s="25" t="n">
        <v>193411487.58</v>
      </c>
      <c r="D121" s="25" t="n">
        <v>141646384.79</v>
      </c>
      <c r="E121" s="25" t="n">
        <v>38134224.26</v>
      </c>
      <c r="F121" s="25" t="n">
        <v>13630878.53</v>
      </c>
      <c r="G121" s="25" t="n">
        <v>0</v>
      </c>
    </row>
    <row r="122" customFormat="false" ht="15" hidden="false" customHeight="false" outlineLevel="0" collapsed="false">
      <c r="A122" s="14" t="n">
        <v>4</v>
      </c>
      <c r="B122" s="14" t="n">
        <v>13</v>
      </c>
      <c r="C122" s="25" t="n">
        <v>184666916.37</v>
      </c>
      <c r="D122" s="25" t="n">
        <v>133675395.84</v>
      </c>
      <c r="E122" s="25" t="n">
        <v>38134224.26</v>
      </c>
      <c r="F122" s="25" t="n">
        <v>12857296.27</v>
      </c>
      <c r="G122" s="25" t="n">
        <v>0</v>
      </c>
    </row>
    <row r="123" customFormat="false" ht="15" hidden="false" customHeight="false" outlineLevel="0" collapsed="false">
      <c r="A123" s="14" t="n">
        <v>4</v>
      </c>
      <c r="B123" s="14" t="n">
        <v>14</v>
      </c>
      <c r="C123" s="25" t="n">
        <v>176147048.1</v>
      </c>
      <c r="D123" s="25" t="n">
        <v>125895699.71</v>
      </c>
      <c r="E123" s="25" t="n">
        <v>38134224.26</v>
      </c>
      <c r="F123" s="25" t="n">
        <v>12117124.13</v>
      </c>
      <c r="G123" s="25" t="n">
        <v>0</v>
      </c>
    </row>
    <row r="124" customFormat="false" ht="15" hidden="false" customHeight="false" outlineLevel="0" collapsed="false">
      <c r="A124" s="14" t="n">
        <v>4</v>
      </c>
      <c r="B124" s="14" t="n">
        <v>15</v>
      </c>
      <c r="C124" s="25" t="n">
        <v>167847016.47</v>
      </c>
      <c r="D124" s="25" t="n">
        <v>118303339.39</v>
      </c>
      <c r="E124" s="25" t="n">
        <v>38134224.26</v>
      </c>
      <c r="F124" s="25" t="n">
        <v>11409452.83</v>
      </c>
      <c r="G124" s="25" t="n">
        <v>0</v>
      </c>
    </row>
    <row r="125" customFormat="false" ht="15" hidden="false" customHeight="false" outlineLevel="0" collapsed="false">
      <c r="A125" s="14" t="n">
        <v>4</v>
      </c>
      <c r="B125" s="14" t="n">
        <v>16</v>
      </c>
      <c r="C125" s="25" t="n">
        <v>159762052.11</v>
      </c>
      <c r="D125" s="25" t="n">
        <v>110894434.34</v>
      </c>
      <c r="E125" s="25" t="n">
        <v>38134224.26</v>
      </c>
      <c r="F125" s="25" t="n">
        <v>10733393.51</v>
      </c>
      <c r="G125" s="25" t="n">
        <v>0</v>
      </c>
    </row>
    <row r="126" customFormat="false" ht="15" hidden="false" customHeight="false" outlineLevel="0" collapsed="false">
      <c r="A126" s="14" t="n">
        <v>4</v>
      </c>
      <c r="B126" s="14" t="n">
        <v>17</v>
      </c>
      <c r="C126" s="25" t="n">
        <v>151887480.68</v>
      </c>
      <c r="D126" s="25" t="n">
        <v>103665179.16</v>
      </c>
      <c r="E126" s="25" t="n">
        <v>38134224.26</v>
      </c>
      <c r="F126" s="25" t="n">
        <v>10088077.27</v>
      </c>
      <c r="G126" s="25" t="n">
        <v>0</v>
      </c>
    </row>
    <row r="127" customFormat="false" ht="15" hidden="false" customHeight="false" outlineLevel="0" collapsed="false">
      <c r="A127" s="14" t="n">
        <v>4</v>
      </c>
      <c r="B127" s="14" t="n">
        <v>18</v>
      </c>
      <c r="C127" s="25" t="n">
        <v>144218721.11</v>
      </c>
      <c r="D127" s="25" t="n">
        <v>96611842.09</v>
      </c>
      <c r="E127" s="25" t="n">
        <v>38134224.26</v>
      </c>
      <c r="F127" s="25" t="n">
        <v>9472654.77</v>
      </c>
      <c r="G127" s="25" t="n">
        <v>0</v>
      </c>
    </row>
    <row r="128" customFormat="false" ht="15" hidden="false" customHeight="false" outlineLevel="0" collapsed="false">
      <c r="A128" s="14" t="n">
        <v>4</v>
      </c>
      <c r="B128" s="14" t="n">
        <v>19</v>
      </c>
      <c r="C128" s="25" t="n">
        <v>136751283.81</v>
      </c>
      <c r="D128" s="25" t="n">
        <v>89730763.7</v>
      </c>
      <c r="E128" s="25" t="n">
        <v>38134224.26</v>
      </c>
      <c r="F128" s="25" t="n">
        <v>8886295.86</v>
      </c>
      <c r="G128" s="25" t="n">
        <v>0</v>
      </c>
    </row>
    <row r="129" customFormat="false" ht="15" hidden="false" customHeight="false" outlineLevel="0" collapsed="false">
      <c r="A129" s="14" t="n">
        <v>4</v>
      </c>
      <c r="B129" s="14" t="n">
        <v>20</v>
      </c>
      <c r="C129" s="25" t="n">
        <v>129480768.95</v>
      </c>
      <c r="D129" s="25" t="n">
        <v>83018355.55</v>
      </c>
      <c r="E129" s="25" t="n">
        <v>38134224.26</v>
      </c>
      <c r="F129" s="25" t="n">
        <v>8328189.14</v>
      </c>
      <c r="G129" s="25" t="n">
        <v>0</v>
      </c>
    </row>
    <row r="130" customFormat="false" ht="15" hidden="false" customHeight="false" outlineLevel="0" collapsed="false">
      <c r="A130" s="14" t="n">
        <v>4</v>
      </c>
      <c r="B130" s="14" t="n">
        <v>21</v>
      </c>
      <c r="C130" s="25" t="n">
        <v>122402864.72</v>
      </c>
      <c r="D130" s="25" t="n">
        <v>76471098.85</v>
      </c>
      <c r="E130" s="25" t="n">
        <v>38134224.26</v>
      </c>
      <c r="F130" s="25" t="n">
        <v>7797541.61</v>
      </c>
      <c r="G130" s="25" t="n">
        <v>0</v>
      </c>
    </row>
    <row r="131" customFormat="false" ht="15" hidden="false" customHeight="false" outlineLevel="0" collapsed="false">
      <c r="A131" s="14" t="n">
        <v>4</v>
      </c>
      <c r="B131" s="14" t="n">
        <v>22</v>
      </c>
      <c r="C131" s="25" t="n">
        <v>115513345.71</v>
      </c>
      <c r="D131" s="25" t="n">
        <v>70085543.14</v>
      </c>
      <c r="E131" s="25" t="n">
        <v>38134224.26</v>
      </c>
      <c r="F131" s="25" t="n">
        <v>7293578.32</v>
      </c>
      <c r="G131" s="25" t="n">
        <v>0</v>
      </c>
    </row>
    <row r="132" customFormat="false" ht="15" hidden="false" customHeight="false" outlineLevel="0" collapsed="false">
      <c r="A132" s="14" t="n">
        <v>4</v>
      </c>
      <c r="B132" s="14" t="n">
        <v>23</v>
      </c>
      <c r="C132" s="25" t="n">
        <v>108808071.25</v>
      </c>
      <c r="D132" s="25" t="n">
        <v>63858305.07</v>
      </c>
      <c r="E132" s="25" t="n">
        <v>38134224.26</v>
      </c>
      <c r="F132" s="25" t="n">
        <v>6815541.92</v>
      </c>
      <c r="G132" s="25" t="n">
        <v>0</v>
      </c>
    </row>
    <row r="133" customFormat="false" ht="15" hidden="false" customHeight="false" outlineLevel="0" collapsed="false">
      <c r="A133" s="14" t="n">
        <v>4</v>
      </c>
      <c r="B133" s="14" t="n">
        <v>24</v>
      </c>
      <c r="C133" s="25" t="n">
        <v>102282983.75</v>
      </c>
      <c r="D133" s="25" t="n">
        <v>57786067.13</v>
      </c>
      <c r="E133" s="25" t="n">
        <v>38134224.26</v>
      </c>
      <c r="F133" s="25" t="n">
        <v>6362692.37</v>
      </c>
      <c r="G133" s="25" t="n">
        <v>0</v>
      </c>
    </row>
    <row r="134" customFormat="false" ht="15" hidden="false" customHeight="false" outlineLevel="0" collapsed="false">
      <c r="A134" s="14" t="n">
        <v>4</v>
      </c>
      <c r="B134" s="14" t="n">
        <v>25</v>
      </c>
      <c r="C134" s="25" t="n">
        <v>95934107.21</v>
      </c>
      <c r="D134" s="25" t="n">
        <v>51865576.39</v>
      </c>
      <c r="E134" s="25" t="n">
        <v>38134224.26</v>
      </c>
      <c r="F134" s="25" t="n">
        <v>5934306.57</v>
      </c>
      <c r="G134" s="25" t="n">
        <v>0</v>
      </c>
    </row>
    <row r="135" customFormat="false" ht="15" hidden="false" customHeight="false" outlineLevel="0" collapsed="false">
      <c r="A135" s="14" t="n">
        <v>4</v>
      </c>
      <c r="B135" s="14" t="n">
        <v>26</v>
      </c>
      <c r="C135" s="25" t="n">
        <v>89757545.58</v>
      </c>
      <c r="D135" s="25" t="n">
        <v>46093643.34</v>
      </c>
      <c r="E135" s="25" t="n">
        <v>38134224.26</v>
      </c>
      <c r="F135" s="25" t="n">
        <v>5529677.98</v>
      </c>
      <c r="G135" s="25" t="n">
        <v>0</v>
      </c>
    </row>
    <row r="136" customFormat="false" ht="15" hidden="false" customHeight="false" outlineLevel="0" collapsed="false">
      <c r="A136" s="14" t="n">
        <v>4</v>
      </c>
      <c r="B136" s="14" t="n">
        <v>27</v>
      </c>
      <c r="C136" s="25" t="n">
        <v>83749481.27</v>
      </c>
      <c r="D136" s="25" t="n">
        <v>40467140.68</v>
      </c>
      <c r="E136" s="25" t="n">
        <v>38134224.26</v>
      </c>
      <c r="F136" s="25" t="n">
        <v>5148116.33</v>
      </c>
      <c r="G136" s="25" t="n">
        <v>0</v>
      </c>
    </row>
    <row r="137" customFormat="false" ht="15" hidden="false" customHeight="false" outlineLevel="0" collapsed="false">
      <c r="A137" s="14" t="n">
        <v>4</v>
      </c>
      <c r="B137" s="14" t="n">
        <v>28</v>
      </c>
      <c r="C137" s="25" t="n">
        <v>77906173.67</v>
      </c>
      <c r="D137" s="25" t="n">
        <v>34983002.18</v>
      </c>
      <c r="E137" s="25" t="n">
        <v>38134224.26</v>
      </c>
      <c r="F137" s="25" t="n">
        <v>4788947.23</v>
      </c>
      <c r="G137" s="25" t="n">
        <v>0</v>
      </c>
    </row>
    <row r="138" customFormat="false" ht="15" hidden="false" customHeight="false" outlineLevel="0" collapsed="false">
      <c r="A138" s="14" t="n">
        <v>4</v>
      </c>
      <c r="B138" s="14" t="n">
        <v>29</v>
      </c>
      <c r="C138" s="25" t="n">
        <v>72223957.67</v>
      </c>
      <c r="D138" s="25" t="n">
        <v>29638221.51</v>
      </c>
      <c r="E138" s="25" t="n">
        <v>38134224.26</v>
      </c>
      <c r="F138" s="25" t="n">
        <v>4451511.9</v>
      </c>
      <c r="G138" s="25" t="n">
        <v>0</v>
      </c>
    </row>
    <row r="139" customFormat="false" ht="15" hidden="false" customHeight="false" outlineLevel="0" collapsed="false">
      <c r="A139" s="14" t="n">
        <v>4</v>
      </c>
      <c r="B139" s="14" t="n">
        <v>30</v>
      </c>
      <c r="C139" s="25" t="n">
        <v>66699242.18</v>
      </c>
      <c r="D139" s="25" t="n">
        <v>24429851.13</v>
      </c>
      <c r="E139" s="25" t="n">
        <v>38134224.26</v>
      </c>
      <c r="F139" s="25" t="n">
        <v>4135166.79</v>
      </c>
      <c r="G139" s="25" t="n">
        <v>0</v>
      </c>
    </row>
    <row r="140" customFormat="false" ht="15" hidden="false" customHeight="false" outlineLevel="0" collapsed="false">
      <c r="A140" s="14" t="n">
        <v>4</v>
      </c>
      <c r="B140" s="14" t="n">
        <v>31</v>
      </c>
      <c r="C140" s="25" t="n">
        <v>61328508.79</v>
      </c>
      <c r="D140" s="25" t="n">
        <v>19355001.22</v>
      </c>
      <c r="E140" s="25" t="n">
        <v>38134224.26</v>
      </c>
      <c r="F140" s="25" t="n">
        <v>3839283.31</v>
      </c>
      <c r="G140" s="25" t="n">
        <v>0</v>
      </c>
    </row>
    <row r="141" customFormat="false" ht="15" hidden="false" customHeight="false" outlineLevel="0" collapsed="false">
      <c r="A141" s="14" t="n">
        <v>4</v>
      </c>
      <c r="B141" s="14" t="n">
        <v>32</v>
      </c>
      <c r="C141" s="25" t="n">
        <v>56108310.3</v>
      </c>
      <c r="D141" s="25" t="n">
        <v>14410838.56</v>
      </c>
      <c r="E141" s="25" t="n">
        <v>38134224.26</v>
      </c>
      <c r="F141" s="25" t="n">
        <v>3563247.48</v>
      </c>
      <c r="G141" s="25" t="n">
        <v>0</v>
      </c>
    </row>
    <row r="142" customFormat="false" ht="15" hidden="false" customHeight="false" outlineLevel="0" collapsed="false">
      <c r="A142" s="14" t="n">
        <v>4</v>
      </c>
      <c r="B142" s="14" t="n">
        <v>33</v>
      </c>
      <c r="C142" s="25" t="n">
        <v>51035269.43</v>
      </c>
      <c r="D142" s="25" t="n">
        <v>9594585.48</v>
      </c>
      <c r="E142" s="25" t="n">
        <v>38134224.26</v>
      </c>
      <c r="F142" s="25" t="n">
        <v>3306459.69</v>
      </c>
      <c r="G142" s="25" t="n">
        <v>0</v>
      </c>
    </row>
    <row r="143" customFormat="false" ht="15" hidden="false" customHeight="false" outlineLevel="0" collapsed="false">
      <c r="A143" s="14" t="n">
        <v>4</v>
      </c>
      <c r="B143" s="14" t="n">
        <v>34</v>
      </c>
      <c r="C143" s="25" t="n">
        <v>46106077.41</v>
      </c>
      <c r="D143" s="25" t="n">
        <v>4903518.83</v>
      </c>
      <c r="E143" s="25" t="n">
        <v>38134224.26</v>
      </c>
      <c r="F143" s="25" t="n">
        <v>3068334.33</v>
      </c>
      <c r="G143" s="25" t="n">
        <v>0</v>
      </c>
    </row>
    <row r="144" customFormat="false" ht="15" hidden="false" customHeight="false" outlineLevel="0" collapsed="false">
      <c r="A144" s="14" t="n">
        <v>4</v>
      </c>
      <c r="B144" s="14" t="n">
        <v>35</v>
      </c>
      <c r="C144" s="25" t="n">
        <v>41317492.74</v>
      </c>
      <c r="D144" s="25" t="n">
        <v>334968.95</v>
      </c>
      <c r="E144" s="25" t="n">
        <v>38134224.26</v>
      </c>
      <c r="F144" s="25" t="n">
        <v>2848299.53</v>
      </c>
      <c r="G144" s="25" t="n">
        <v>0</v>
      </c>
    </row>
    <row r="145" customFormat="false" ht="15" hidden="false" customHeight="false" outlineLevel="0" collapsed="false">
      <c r="A145" s="14" t="n">
        <v>4</v>
      </c>
      <c r="B145" s="14" t="n">
        <v>36</v>
      </c>
      <c r="C145" s="25" t="n">
        <v>36666339.83</v>
      </c>
      <c r="D145" s="25" t="n">
        <v>0</v>
      </c>
      <c r="E145" s="25" t="n">
        <v>34020542.95</v>
      </c>
      <c r="F145" s="25" t="n">
        <v>2645796.88</v>
      </c>
      <c r="G145" s="25" t="n">
        <v>0</v>
      </c>
    </row>
    <row r="146" customFormat="false" ht="15" hidden="false" customHeight="false" outlineLevel="0" collapsed="false">
      <c r="A146" s="14" t="n">
        <v>5</v>
      </c>
      <c r="B146" s="14" t="n">
        <v>1</v>
      </c>
      <c r="C146" s="25" t="n">
        <v>303718258.32</v>
      </c>
      <c r="D146" s="25" t="n">
        <v>243568040.43</v>
      </c>
      <c r="E146" s="25" t="n">
        <v>38134224.26</v>
      </c>
      <c r="F146" s="25" t="n">
        <v>15889260.11</v>
      </c>
      <c r="G146" s="25" t="n">
        <v>6126733.52</v>
      </c>
    </row>
    <row r="147" customFormat="false" ht="15" hidden="false" customHeight="false" outlineLevel="0" collapsed="false">
      <c r="A147" s="14" t="n">
        <v>5</v>
      </c>
      <c r="B147" s="14" t="n">
        <v>2</v>
      </c>
      <c r="C147" s="25" t="n">
        <v>290125029.27</v>
      </c>
      <c r="D147" s="25" t="n">
        <v>233252987.98</v>
      </c>
      <c r="E147" s="25" t="n">
        <v>38134224.26</v>
      </c>
      <c r="F147" s="25" t="n">
        <v>15889260.11</v>
      </c>
      <c r="G147" s="25" t="n">
        <v>2848556.92</v>
      </c>
    </row>
    <row r="148" customFormat="false" ht="15" hidden="false" customHeight="false" outlineLevel="0" collapsed="false">
      <c r="A148" s="14" t="n">
        <v>5</v>
      </c>
      <c r="B148" s="14" t="n">
        <v>3</v>
      </c>
      <c r="C148" s="25" t="n">
        <v>276991283.37</v>
      </c>
      <c r="D148" s="25" t="n">
        <v>223273023.8</v>
      </c>
      <c r="E148" s="25" t="n">
        <v>38134224.26</v>
      </c>
      <c r="F148" s="25" t="n">
        <v>15584035.31</v>
      </c>
      <c r="G148" s="25" t="n">
        <v>0</v>
      </c>
    </row>
    <row r="149" customFormat="false" ht="15" hidden="false" customHeight="false" outlineLevel="0" collapsed="false">
      <c r="A149" s="14" t="n">
        <v>5</v>
      </c>
      <c r="B149" s="14" t="n">
        <v>4</v>
      </c>
      <c r="C149" s="25" t="n">
        <v>264303190.42</v>
      </c>
      <c r="D149" s="25" t="n">
        <v>213615518.22</v>
      </c>
      <c r="E149" s="25" t="n">
        <v>38134224.26</v>
      </c>
      <c r="F149" s="25" t="n">
        <v>12553447.95</v>
      </c>
      <c r="G149" s="25" t="n">
        <v>0</v>
      </c>
    </row>
    <row r="150" customFormat="false" ht="15" hidden="false" customHeight="false" outlineLevel="0" collapsed="false">
      <c r="A150" s="14" t="n">
        <v>5</v>
      </c>
      <c r="B150" s="14" t="n">
        <v>5</v>
      </c>
      <c r="C150" s="25" t="n">
        <v>252047310.77</v>
      </c>
      <c r="D150" s="25" t="n">
        <v>204244900.08</v>
      </c>
      <c r="E150" s="25" t="n">
        <v>38134224.26</v>
      </c>
      <c r="F150" s="25" t="n">
        <v>9668186.43</v>
      </c>
      <c r="G150" s="25" t="n">
        <v>0</v>
      </c>
    </row>
    <row r="151" customFormat="false" ht="15" hidden="false" customHeight="false" outlineLevel="0" collapsed="false">
      <c r="A151" s="14" t="n">
        <v>5</v>
      </c>
      <c r="B151" s="14" t="n">
        <v>6</v>
      </c>
      <c r="C151" s="25" t="n">
        <v>240210584.68</v>
      </c>
      <c r="D151" s="25" t="n">
        <v>195153217.96</v>
      </c>
      <c r="E151" s="25" t="n">
        <v>38134224.26</v>
      </c>
      <c r="F151" s="25" t="n">
        <v>6923142.46</v>
      </c>
      <c r="G151" s="25" t="n">
        <v>0</v>
      </c>
    </row>
    <row r="152" customFormat="false" ht="15" hidden="false" customHeight="false" outlineLevel="0" collapsed="false">
      <c r="A152" s="14" t="n">
        <v>5</v>
      </c>
      <c r="B152" s="14" t="n">
        <v>7</v>
      </c>
      <c r="C152" s="25" t="n">
        <v>228780322.1</v>
      </c>
      <c r="D152" s="25" t="n">
        <v>186332733.05</v>
      </c>
      <c r="E152" s="25" t="n">
        <v>38134224.26</v>
      </c>
      <c r="F152" s="25" t="n">
        <v>4313364.8</v>
      </c>
      <c r="G152" s="25" t="n">
        <v>0</v>
      </c>
    </row>
    <row r="153" customFormat="false" ht="15" hidden="false" customHeight="false" outlineLevel="0" collapsed="false">
      <c r="A153" s="14" t="n">
        <v>5</v>
      </c>
      <c r="B153" s="14" t="n">
        <v>8</v>
      </c>
      <c r="C153" s="25" t="n">
        <v>217744192.54</v>
      </c>
      <c r="D153" s="25" t="n">
        <v>177775913.55</v>
      </c>
      <c r="E153" s="25" t="n">
        <v>38134224.26</v>
      </c>
      <c r="F153" s="25" t="n">
        <v>1834054.74</v>
      </c>
      <c r="G153" s="25" t="n">
        <v>0</v>
      </c>
    </row>
    <row r="154" customFormat="false" ht="15" hidden="false" customHeight="false" outlineLevel="0" collapsed="false">
      <c r="A154" s="14" t="n">
        <v>5</v>
      </c>
      <c r="B154" s="14" t="n">
        <v>9</v>
      </c>
      <c r="C154" s="25" t="n">
        <v>207090215.35</v>
      </c>
      <c r="D154" s="25" t="n">
        <v>169475429.34</v>
      </c>
      <c r="E154" s="25" t="n">
        <v>37614786.02</v>
      </c>
      <c r="F154" s="25" t="n">
        <v>0</v>
      </c>
      <c r="G154" s="25" t="n">
        <v>0</v>
      </c>
    </row>
    <row r="155" customFormat="false" ht="15" hidden="false" customHeight="false" outlineLevel="0" collapsed="false">
      <c r="A155" s="14" t="n">
        <v>5</v>
      </c>
      <c r="B155" s="14" t="n">
        <v>10</v>
      </c>
      <c r="C155" s="25" t="n">
        <v>196806750.19</v>
      </c>
      <c r="D155" s="25" t="n">
        <v>161425445.24</v>
      </c>
      <c r="E155" s="25" t="n">
        <v>35381304.95</v>
      </c>
      <c r="F155" s="25" t="n">
        <v>0</v>
      </c>
      <c r="G155" s="25" t="n">
        <v>0</v>
      </c>
    </row>
    <row r="156" customFormat="false" ht="15" hidden="false" customHeight="false" outlineLevel="0" collapsed="false">
      <c r="A156" s="14" t="n">
        <v>5</v>
      </c>
      <c r="B156" s="14" t="n">
        <v>11</v>
      </c>
      <c r="C156" s="25" t="n">
        <v>186882487.75</v>
      </c>
      <c r="D156" s="25" t="n">
        <v>153623298.99</v>
      </c>
      <c r="E156" s="25" t="n">
        <v>33259188.76</v>
      </c>
      <c r="F156" s="25" t="n">
        <v>0</v>
      </c>
      <c r="G156" s="25" t="n">
        <v>0</v>
      </c>
    </row>
    <row r="157" customFormat="false" ht="15" hidden="false" customHeight="false" outlineLevel="0" collapsed="false">
      <c r="A157" s="14" t="n">
        <v>5</v>
      </c>
      <c r="B157" s="14" t="n">
        <v>12</v>
      </c>
      <c r="C157" s="25" t="n">
        <v>177306440.75</v>
      </c>
      <c r="D157" s="25" t="n">
        <v>146061934.98</v>
      </c>
      <c r="E157" s="25" t="n">
        <v>31244505.77</v>
      </c>
      <c r="F157" s="25" t="n">
        <v>0</v>
      </c>
      <c r="G157" s="25" t="n">
        <v>0</v>
      </c>
    </row>
    <row r="158" customFormat="false" ht="15" hidden="false" customHeight="false" outlineLevel="0" collapsed="false">
      <c r="A158" s="14" t="n">
        <v>5</v>
      </c>
      <c r="B158" s="14" t="n">
        <v>13</v>
      </c>
      <c r="C158" s="25" t="n">
        <v>168067935.15</v>
      </c>
      <c r="D158" s="25" t="n">
        <v>138734489.92</v>
      </c>
      <c r="E158" s="25" t="n">
        <v>29333445.23</v>
      </c>
      <c r="F158" s="25" t="n">
        <v>0</v>
      </c>
      <c r="G158" s="25" t="n">
        <v>0</v>
      </c>
    </row>
    <row r="159" customFormat="false" ht="15" hidden="false" customHeight="false" outlineLevel="0" collapsed="false">
      <c r="A159" s="14" t="n">
        <v>5</v>
      </c>
      <c r="B159" s="14" t="n">
        <v>14</v>
      </c>
      <c r="C159" s="25" t="n">
        <v>159156601.63</v>
      </c>
      <c r="D159" s="25" t="n">
        <v>131634287.78</v>
      </c>
      <c r="E159" s="25" t="n">
        <v>27522313.84</v>
      </c>
      <c r="F159" s="25" t="n">
        <v>0</v>
      </c>
      <c r="G159" s="25" t="n">
        <v>0</v>
      </c>
    </row>
    <row r="160" customFormat="false" ht="15" hidden="false" customHeight="false" outlineLevel="0" collapsed="false">
      <c r="A160" s="14" t="n">
        <v>5</v>
      </c>
      <c r="B160" s="14" t="n">
        <v>15</v>
      </c>
      <c r="C160" s="25" t="n">
        <v>150562367.19</v>
      </c>
      <c r="D160" s="25" t="n">
        <v>124754834.78</v>
      </c>
      <c r="E160" s="25" t="n">
        <v>25807532.41</v>
      </c>
      <c r="F160" s="25" t="n">
        <v>0</v>
      </c>
      <c r="G160" s="25" t="n">
        <v>0</v>
      </c>
    </row>
    <row r="161" customFormat="false" ht="15" hidden="false" customHeight="false" outlineLevel="0" collapsed="false">
      <c r="A161" s="14" t="n">
        <v>5</v>
      </c>
      <c r="B161" s="14" t="n">
        <v>16</v>
      </c>
      <c r="C161" s="25" t="n">
        <v>142275447.14</v>
      </c>
      <c r="D161" s="25" t="n">
        <v>118089814.6</v>
      </c>
      <c r="E161" s="25" t="n">
        <v>24185632.54</v>
      </c>
      <c r="F161" s="25" t="n">
        <v>0</v>
      </c>
      <c r="G161" s="25" t="n">
        <v>0</v>
      </c>
    </row>
    <row r="162" customFormat="false" ht="15" hidden="false" customHeight="false" outlineLevel="0" collapsed="false">
      <c r="A162" s="14" t="n">
        <v>5</v>
      </c>
      <c r="B162" s="14" t="n">
        <v>17</v>
      </c>
      <c r="C162" s="25" t="n">
        <v>134286337.17</v>
      </c>
      <c r="D162" s="25" t="n">
        <v>111633083.65</v>
      </c>
      <c r="E162" s="25" t="n">
        <v>22653253.52</v>
      </c>
      <c r="F162" s="25" t="n">
        <v>0</v>
      </c>
      <c r="G162" s="25" t="n">
        <v>0</v>
      </c>
    </row>
    <row r="163" customFormat="false" ht="15" hidden="false" customHeight="false" outlineLevel="0" collapsed="false">
      <c r="A163" s="14" t="n">
        <v>5</v>
      </c>
      <c r="B163" s="14" t="n">
        <v>18</v>
      </c>
      <c r="C163" s="25" t="n">
        <v>126585805.66</v>
      </c>
      <c r="D163" s="25" t="n">
        <v>105378666.51</v>
      </c>
      <c r="E163" s="25" t="n">
        <v>21207139.15</v>
      </c>
      <c r="F163" s="25" t="n">
        <v>0</v>
      </c>
      <c r="G163" s="25" t="n">
        <v>0</v>
      </c>
    </row>
    <row r="164" customFormat="false" ht="15" hidden="false" customHeight="false" outlineLevel="0" collapsed="false">
      <c r="A164" s="14" t="n">
        <v>5</v>
      </c>
      <c r="B164" s="14" t="n">
        <v>19</v>
      </c>
      <c r="C164" s="25" t="n">
        <v>119164886.23</v>
      </c>
      <c r="D164" s="25" t="n">
        <v>99320751.44</v>
      </c>
      <c r="E164" s="25" t="n">
        <v>19844134.79</v>
      </c>
      <c r="F164" s="25" t="n">
        <v>0</v>
      </c>
      <c r="G164" s="25" t="n">
        <v>0</v>
      </c>
    </row>
    <row r="165" customFormat="false" ht="15" hidden="false" customHeight="false" outlineLevel="0" collapsed="false">
      <c r="A165" s="14" t="n">
        <v>5</v>
      </c>
      <c r="B165" s="14" t="n">
        <v>20</v>
      </c>
      <c r="C165" s="25" t="n">
        <v>112014870.45</v>
      </c>
      <c r="D165" s="25" t="n">
        <v>93453686.06</v>
      </c>
      <c r="E165" s="25" t="n">
        <v>18561184.39</v>
      </c>
      <c r="F165" s="25" t="n">
        <v>0</v>
      </c>
      <c r="G165" s="25" t="n">
        <v>0</v>
      </c>
    </row>
    <row r="166" customFormat="false" ht="15" hidden="false" customHeight="false" outlineLevel="0" collapsed="false">
      <c r="A166" s="14" t="n">
        <v>5</v>
      </c>
      <c r="B166" s="14" t="n">
        <v>21</v>
      </c>
      <c r="C166" s="25" t="n">
        <v>105127300.79</v>
      </c>
      <c r="D166" s="25" t="n">
        <v>87771973.1</v>
      </c>
      <c r="E166" s="25" t="n">
        <v>17355327.7</v>
      </c>
      <c r="F166" s="25" t="n">
        <v>0</v>
      </c>
      <c r="G166" s="25" t="n">
        <v>0</v>
      </c>
    </row>
    <row r="167" customFormat="false" ht="15" hidden="false" customHeight="false" outlineLevel="0" collapsed="false">
      <c r="A167" s="14" t="n">
        <v>5</v>
      </c>
      <c r="B167" s="14" t="n">
        <v>22</v>
      </c>
      <c r="C167" s="25" t="n">
        <v>98493963.68</v>
      </c>
      <c r="D167" s="25" t="n">
        <v>82270266.26</v>
      </c>
      <c r="E167" s="25" t="n">
        <v>16223697.42</v>
      </c>
      <c r="F167" s="25" t="n">
        <v>0</v>
      </c>
      <c r="G167" s="25" t="n">
        <v>0</v>
      </c>
    </row>
    <row r="168" customFormat="false" ht="15" hidden="false" customHeight="false" outlineLevel="0" collapsed="false">
      <c r="A168" s="14" t="n">
        <v>5</v>
      </c>
      <c r="B168" s="14" t="n">
        <v>23</v>
      </c>
      <c r="C168" s="25" t="n">
        <v>92106882.82</v>
      </c>
      <c r="D168" s="25" t="n">
        <v>76943366.24</v>
      </c>
      <c r="E168" s="25" t="n">
        <v>15163516.58</v>
      </c>
      <c r="F168" s="25" t="n">
        <v>0</v>
      </c>
      <c r="G168" s="25" t="n">
        <v>0</v>
      </c>
    </row>
    <row r="169" customFormat="false" ht="15" hidden="false" customHeight="false" outlineLevel="0" collapsed="false">
      <c r="A169" s="14" t="n">
        <v>5</v>
      </c>
      <c r="B169" s="14" t="n">
        <v>24</v>
      </c>
      <c r="C169" s="25" t="n">
        <v>85958312.67</v>
      </c>
      <c r="D169" s="25" t="n">
        <v>71786216.78</v>
      </c>
      <c r="E169" s="25" t="n">
        <v>14172095.89</v>
      </c>
      <c r="F169" s="25" t="n">
        <v>0</v>
      </c>
      <c r="G169" s="25" t="n">
        <v>0</v>
      </c>
    </row>
    <row r="170" customFormat="false" ht="15" hidden="false" customHeight="false" outlineLevel="0" collapsed="false">
      <c r="A170" s="14" t="n">
        <v>5</v>
      </c>
      <c r="B170" s="14" t="n">
        <v>25</v>
      </c>
      <c r="C170" s="25" t="n">
        <v>80040732.06</v>
      </c>
      <c r="D170" s="25" t="n">
        <v>66793900.85</v>
      </c>
      <c r="E170" s="25" t="n">
        <v>13246831.21</v>
      </c>
      <c r="F170" s="25" t="n">
        <v>0</v>
      </c>
      <c r="G170" s="25" t="n">
        <v>0</v>
      </c>
    </row>
    <row r="171" customFormat="false" ht="15" hidden="false" customHeight="false" outlineLevel="0" collapsed="false">
      <c r="A171" s="14" t="n">
        <v>5</v>
      </c>
      <c r="B171" s="14" t="n">
        <v>26</v>
      </c>
      <c r="C171" s="25" t="n">
        <v>74346838.02</v>
      </c>
      <c r="D171" s="25" t="n">
        <v>61961636.98</v>
      </c>
      <c r="E171" s="25" t="n">
        <v>12385201.04</v>
      </c>
      <c r="F171" s="25" t="n">
        <v>0</v>
      </c>
      <c r="G171" s="25" t="n">
        <v>0</v>
      </c>
    </row>
    <row r="172" customFormat="false" ht="15" hidden="false" customHeight="false" outlineLevel="0" collapsed="false">
      <c r="A172" s="14" t="n">
        <v>5</v>
      </c>
      <c r="B172" s="14" t="n">
        <v>27</v>
      </c>
      <c r="C172" s="25" t="n">
        <v>68869539.76</v>
      </c>
      <c r="D172" s="25" t="n">
        <v>57284775.61</v>
      </c>
      <c r="E172" s="25" t="n">
        <v>11584764.15</v>
      </c>
      <c r="F172" s="25" t="n">
        <v>0</v>
      </c>
      <c r="G172" s="25" t="n">
        <v>0</v>
      </c>
    </row>
    <row r="173" customFormat="false" ht="15" hidden="false" customHeight="false" outlineLevel="0" collapsed="false">
      <c r="A173" s="14" t="n">
        <v>5</v>
      </c>
      <c r="B173" s="14" t="n">
        <v>28</v>
      </c>
      <c r="C173" s="25" t="n">
        <v>63601952.8</v>
      </c>
      <c r="D173" s="25" t="n">
        <v>52758795.56</v>
      </c>
      <c r="E173" s="25" t="n">
        <v>10843157.23</v>
      </c>
      <c r="F173" s="25" t="n">
        <v>0</v>
      </c>
      <c r="G173" s="25" t="n">
        <v>0</v>
      </c>
    </row>
    <row r="174" customFormat="false" ht="15" hidden="false" customHeight="false" outlineLevel="0" collapsed="false">
      <c r="A174" s="14" t="n">
        <v>5</v>
      </c>
      <c r="B174" s="14" t="n">
        <v>29</v>
      </c>
      <c r="C174" s="25" t="n">
        <v>58537393.26</v>
      </c>
      <c r="D174" s="25" t="n">
        <v>48379300.65</v>
      </c>
      <c r="E174" s="25" t="n">
        <v>10158092.61</v>
      </c>
      <c r="F174" s="25" t="n">
        <v>0</v>
      </c>
      <c r="G174" s="25" t="n">
        <v>0</v>
      </c>
    </row>
    <row r="175" customFormat="false" ht="15" hidden="false" customHeight="false" outlineLevel="0" collapsed="false">
      <c r="A175" s="14" t="n">
        <v>5</v>
      </c>
      <c r="B175" s="14" t="n">
        <v>30</v>
      </c>
      <c r="C175" s="25" t="n">
        <v>53669372.33</v>
      </c>
      <c r="D175" s="25" t="n">
        <v>44142016.29</v>
      </c>
      <c r="E175" s="25" t="n">
        <v>9527356.04</v>
      </c>
      <c r="F175" s="25" t="n">
        <v>0</v>
      </c>
      <c r="G175" s="25" t="n">
        <v>0</v>
      </c>
    </row>
    <row r="176" customFormat="false" ht="15" hidden="false" customHeight="false" outlineLevel="0" collapsed="false">
      <c r="A176" s="14" t="n">
        <v>5</v>
      </c>
      <c r="B176" s="14" t="n">
        <v>31</v>
      </c>
      <c r="C176" s="25" t="n">
        <v>48991590.85</v>
      </c>
      <c r="D176" s="25" t="n">
        <v>40042786.3</v>
      </c>
      <c r="E176" s="25" t="n">
        <v>8948804.55</v>
      </c>
      <c r="F176" s="25" t="n">
        <v>0</v>
      </c>
      <c r="G176" s="25" t="n">
        <v>0</v>
      </c>
    </row>
    <row r="177" customFormat="false" ht="15" hidden="false" customHeight="false" outlineLevel="0" collapsed="false">
      <c r="A177" s="14" t="n">
        <v>5</v>
      </c>
      <c r="B177" s="14" t="n">
        <v>32</v>
      </c>
      <c r="C177" s="25" t="n">
        <v>44497934.03</v>
      </c>
      <c r="D177" s="25" t="n">
        <v>36077569.67</v>
      </c>
      <c r="E177" s="25" t="n">
        <v>8420364.36</v>
      </c>
      <c r="F177" s="25" t="n">
        <v>0</v>
      </c>
      <c r="G177" s="25" t="n">
        <v>0</v>
      </c>
    </row>
    <row r="178" customFormat="false" ht="15" hidden="false" customHeight="false" outlineLevel="0" collapsed="false">
      <c r="A178" s="14" t="n">
        <v>5</v>
      </c>
      <c r="B178" s="14" t="n">
        <v>33</v>
      </c>
      <c r="C178" s="25" t="n">
        <v>40182466.39</v>
      </c>
      <c r="D178" s="25" t="n">
        <v>32242437.55</v>
      </c>
      <c r="E178" s="25" t="n">
        <v>7940028.84</v>
      </c>
      <c r="F178" s="25" t="n">
        <v>0</v>
      </c>
      <c r="G178" s="25" t="n">
        <v>0</v>
      </c>
    </row>
    <row r="179" customFormat="false" ht="15" hidden="false" customHeight="false" outlineLevel="0" collapsed="false">
      <c r="A179" s="14" t="n">
        <v>5</v>
      </c>
      <c r="B179" s="14" t="n">
        <v>34</v>
      </c>
      <c r="C179" s="25" t="n">
        <v>36039426.71</v>
      </c>
      <c r="D179" s="25" t="n">
        <v>28533570.18</v>
      </c>
      <c r="E179" s="25" t="n">
        <v>7505856.53</v>
      </c>
      <c r="F179" s="25" t="n">
        <v>0</v>
      </c>
      <c r="G179" s="25" t="n">
        <v>0</v>
      </c>
    </row>
    <row r="180" customFormat="false" ht="15" hidden="false" customHeight="false" outlineLevel="0" collapsed="false">
      <c r="A180" s="14" t="n">
        <v>5</v>
      </c>
      <c r="B180" s="14" t="n">
        <v>35</v>
      </c>
      <c r="C180" s="25" t="n">
        <v>32063223.24</v>
      </c>
      <c r="D180" s="25" t="n">
        <v>24947254.01</v>
      </c>
      <c r="E180" s="25" t="n">
        <v>7115969.23</v>
      </c>
      <c r="F180" s="25" t="n">
        <v>0</v>
      </c>
      <c r="G180" s="25" t="n">
        <v>0</v>
      </c>
    </row>
    <row r="181" customFormat="false" ht="15" hidden="false" customHeight="false" outlineLevel="0" collapsed="false">
      <c r="A181" s="14" t="n">
        <v>5</v>
      </c>
      <c r="B181" s="14" t="n">
        <v>36</v>
      </c>
      <c r="C181" s="25" t="n">
        <v>28248428.94</v>
      </c>
      <c r="D181" s="25" t="n">
        <v>21479878.82</v>
      </c>
      <c r="E181" s="25" t="n">
        <v>6768550.12</v>
      </c>
      <c r="F181" s="25" t="n">
        <v>0</v>
      </c>
      <c r="G181" s="25" t="n">
        <v>0</v>
      </c>
    </row>
    <row r="182" customFormat="false" ht="15" hidden="false" customHeight="false" outlineLevel="0" collapsed="false">
      <c r="A182" s="14" t="n">
        <v>6</v>
      </c>
      <c r="B182" s="14" t="n">
        <v>1</v>
      </c>
      <c r="C182" s="25" t="n">
        <v>307176194.3</v>
      </c>
      <c r="D182" s="25" t="n">
        <v>243647694.99</v>
      </c>
      <c r="E182" s="25" t="n">
        <v>38134224.26</v>
      </c>
      <c r="F182" s="25" t="n">
        <v>15889260.11</v>
      </c>
      <c r="G182" s="25" t="n">
        <v>9505014.95</v>
      </c>
    </row>
    <row r="183" customFormat="false" ht="15" hidden="false" customHeight="false" outlineLevel="0" collapsed="false">
      <c r="A183" s="14" t="n">
        <v>6</v>
      </c>
      <c r="B183" s="14" t="n">
        <v>2</v>
      </c>
      <c r="C183" s="25" t="n">
        <v>296768981.89</v>
      </c>
      <c r="D183" s="25" t="n">
        <v>233269961.32</v>
      </c>
      <c r="E183" s="25" t="n">
        <v>38134224.26</v>
      </c>
      <c r="F183" s="25" t="n">
        <v>15889260.11</v>
      </c>
      <c r="G183" s="25" t="n">
        <v>9475536.21</v>
      </c>
    </row>
    <row r="184" customFormat="false" ht="15" hidden="false" customHeight="false" outlineLevel="0" collapsed="false">
      <c r="A184" s="14" t="n">
        <v>6</v>
      </c>
      <c r="B184" s="14" t="n">
        <v>3</v>
      </c>
      <c r="C184" s="25" t="n">
        <v>286560328.75</v>
      </c>
      <c r="D184" s="25" t="n">
        <v>223091715.36</v>
      </c>
      <c r="E184" s="25" t="n">
        <v>38134224.26</v>
      </c>
      <c r="F184" s="25" t="n">
        <v>15889260.11</v>
      </c>
      <c r="G184" s="25" t="n">
        <v>9445129.03</v>
      </c>
    </row>
    <row r="185" customFormat="false" ht="15" hidden="false" customHeight="false" outlineLevel="0" collapsed="false">
      <c r="A185" s="14" t="n">
        <v>6</v>
      </c>
      <c r="B185" s="14" t="n">
        <v>4</v>
      </c>
      <c r="C185" s="25" t="n">
        <v>276547046.49</v>
      </c>
      <c r="D185" s="25" t="n">
        <v>213109759.69</v>
      </c>
      <c r="E185" s="25" t="n">
        <v>38134224.26</v>
      </c>
      <c r="F185" s="25" t="n">
        <v>15889260.11</v>
      </c>
      <c r="G185" s="25" t="n">
        <v>9413802.43</v>
      </c>
    </row>
    <row r="186" customFormat="false" ht="15" hidden="false" customHeight="false" outlineLevel="0" collapsed="false">
      <c r="A186" s="14" t="n">
        <v>6</v>
      </c>
      <c r="B186" s="14" t="n">
        <v>5</v>
      </c>
      <c r="C186" s="25" t="n">
        <v>266725993.73</v>
      </c>
      <c r="D186" s="25" t="n">
        <v>203320944.11</v>
      </c>
      <c r="E186" s="25" t="n">
        <v>38134224.26</v>
      </c>
      <c r="F186" s="25" t="n">
        <v>15889260.11</v>
      </c>
      <c r="G186" s="25" t="n">
        <v>9381565.26</v>
      </c>
    </row>
    <row r="187" customFormat="false" ht="15" hidden="false" customHeight="false" outlineLevel="0" collapsed="false">
      <c r="A187" s="14" t="n">
        <v>6</v>
      </c>
      <c r="B187" s="14" t="n">
        <v>6</v>
      </c>
      <c r="C187" s="25" t="n">
        <v>257094075.51</v>
      </c>
      <c r="D187" s="25" t="n">
        <v>193722164.97</v>
      </c>
      <c r="E187" s="25" t="n">
        <v>38134224.26</v>
      </c>
      <c r="F187" s="25" t="n">
        <v>15889260.11</v>
      </c>
      <c r="G187" s="25" t="n">
        <v>9348426.17</v>
      </c>
    </row>
    <row r="188" customFormat="false" ht="15" hidden="false" customHeight="false" outlineLevel="0" collapsed="false">
      <c r="A188" s="14" t="n">
        <v>6</v>
      </c>
      <c r="B188" s="14" t="n">
        <v>7</v>
      </c>
      <c r="C188" s="25" t="n">
        <v>247648242.58</v>
      </c>
      <c r="D188" s="25" t="n">
        <v>184310364.56</v>
      </c>
      <c r="E188" s="25" t="n">
        <v>38134224.26</v>
      </c>
      <c r="F188" s="25" t="n">
        <v>15889260.11</v>
      </c>
      <c r="G188" s="25" t="n">
        <v>9314393.66</v>
      </c>
    </row>
    <row r="189" customFormat="false" ht="15" hidden="false" customHeight="false" outlineLevel="0" collapsed="false">
      <c r="A189" s="14" t="n">
        <v>6</v>
      </c>
      <c r="B189" s="14" t="n">
        <v>8</v>
      </c>
      <c r="C189" s="25" t="n">
        <v>238385490.81</v>
      </c>
      <c r="D189" s="25" t="n">
        <v>175082530.43</v>
      </c>
      <c r="E189" s="25" t="n">
        <v>38134224.26</v>
      </c>
      <c r="F189" s="25" t="n">
        <v>15889260.11</v>
      </c>
      <c r="G189" s="25" t="n">
        <v>9279476.02</v>
      </c>
    </row>
    <row r="190" customFormat="false" ht="15" hidden="false" customHeight="false" outlineLevel="0" collapsed="false">
      <c r="A190" s="14" t="n">
        <v>6</v>
      </c>
      <c r="B190" s="14" t="n">
        <v>9</v>
      </c>
      <c r="C190" s="25" t="n">
        <v>229302860.52</v>
      </c>
      <c r="D190" s="25" t="n">
        <v>166035694.74</v>
      </c>
      <c r="E190" s="25" t="n">
        <v>38134224.26</v>
      </c>
      <c r="F190" s="25" t="n">
        <v>15889260.11</v>
      </c>
      <c r="G190" s="25" t="n">
        <v>9243681.41</v>
      </c>
    </row>
    <row r="191" customFormat="false" ht="15" hidden="false" customHeight="false" outlineLevel="0" collapsed="false">
      <c r="A191" s="14" t="n">
        <v>6</v>
      </c>
      <c r="B191" s="14" t="n">
        <v>10</v>
      </c>
      <c r="C191" s="25" t="n">
        <v>220397435.87</v>
      </c>
      <c r="D191" s="25" t="n">
        <v>157166933.7</v>
      </c>
      <c r="E191" s="25" t="n">
        <v>38134224.26</v>
      </c>
      <c r="F191" s="25" t="n">
        <v>15889260.11</v>
      </c>
      <c r="G191" s="25" t="n">
        <v>9207017.81</v>
      </c>
    </row>
    <row r="192" customFormat="false" ht="15" hidden="false" customHeight="false" outlineLevel="0" collapsed="false">
      <c r="A192" s="14" t="n">
        <v>6</v>
      </c>
      <c r="B192" s="14" t="n">
        <v>11</v>
      </c>
      <c r="C192" s="25" t="n">
        <v>211666344.24</v>
      </c>
      <c r="D192" s="25" t="n">
        <v>148473366.85</v>
      </c>
      <c r="E192" s="25" t="n">
        <v>38134224.26</v>
      </c>
      <c r="F192" s="25" t="n">
        <v>15889260.11</v>
      </c>
      <c r="G192" s="25" t="n">
        <v>9169493.03</v>
      </c>
    </row>
    <row r="193" customFormat="false" ht="15" hidden="false" customHeight="false" outlineLevel="0" collapsed="false">
      <c r="A193" s="14" t="n">
        <v>6</v>
      </c>
      <c r="B193" s="14" t="n">
        <v>12</v>
      </c>
      <c r="C193" s="25" t="n">
        <v>203106755.63</v>
      </c>
      <c r="D193" s="25" t="n">
        <v>139952156.56</v>
      </c>
      <c r="E193" s="25" t="n">
        <v>38134224.26</v>
      </c>
      <c r="F193" s="25" t="n">
        <v>15889260.11</v>
      </c>
      <c r="G193" s="25" t="n">
        <v>9131114.71</v>
      </c>
    </row>
    <row r="194" customFormat="false" ht="15" hidden="false" customHeight="false" outlineLevel="0" collapsed="false">
      <c r="A194" s="14" t="n">
        <v>6</v>
      </c>
      <c r="B194" s="14" t="n">
        <v>13</v>
      </c>
      <c r="C194" s="25" t="n">
        <v>194715882.04</v>
      </c>
      <c r="D194" s="25" t="n">
        <v>131600507.33</v>
      </c>
      <c r="E194" s="25" t="n">
        <v>38134224.26</v>
      </c>
      <c r="F194" s="25" t="n">
        <v>15889260.11</v>
      </c>
      <c r="G194" s="25" t="n">
        <v>9091890.34</v>
      </c>
    </row>
    <row r="195" customFormat="false" ht="15" hidden="false" customHeight="false" outlineLevel="0" collapsed="false">
      <c r="A195" s="14" t="n">
        <v>6</v>
      </c>
      <c r="B195" s="14" t="n">
        <v>14</v>
      </c>
      <c r="C195" s="25" t="n">
        <v>186490976.89</v>
      </c>
      <c r="D195" s="25" t="n">
        <v>123415665.27</v>
      </c>
      <c r="E195" s="25" t="n">
        <v>38134224.26</v>
      </c>
      <c r="F195" s="25" t="n">
        <v>15889260.11</v>
      </c>
      <c r="G195" s="25" t="n">
        <v>9051827.26</v>
      </c>
    </row>
    <row r="196" customFormat="false" ht="15" hidden="false" customHeight="false" outlineLevel="0" collapsed="false">
      <c r="A196" s="14" t="n">
        <v>6</v>
      </c>
      <c r="B196" s="14" t="n">
        <v>15</v>
      </c>
      <c r="C196" s="25" t="n">
        <v>178429334.46</v>
      </c>
      <c r="D196" s="25" t="n">
        <v>115394917.48</v>
      </c>
      <c r="E196" s="25" t="n">
        <v>38134224.26</v>
      </c>
      <c r="F196" s="25" t="n">
        <v>15889260.11</v>
      </c>
      <c r="G196" s="25" t="n">
        <v>9010932.62</v>
      </c>
    </row>
    <row r="197" customFormat="false" ht="15" hidden="false" customHeight="false" outlineLevel="0" collapsed="false">
      <c r="A197" s="14" t="n">
        <v>6</v>
      </c>
      <c r="B197" s="14" t="n">
        <v>16</v>
      </c>
      <c r="C197" s="25" t="n">
        <v>170528289.27</v>
      </c>
      <c r="D197" s="25" t="n">
        <v>107535591.45</v>
      </c>
      <c r="E197" s="25" t="n">
        <v>38134224.26</v>
      </c>
      <c r="F197" s="25" t="n">
        <v>15889260.11</v>
      </c>
      <c r="G197" s="25" t="n">
        <v>8969213.45</v>
      </c>
    </row>
    <row r="198" customFormat="false" ht="15" hidden="false" customHeight="false" outlineLevel="0" collapsed="false">
      <c r="A198" s="14" t="n">
        <v>6</v>
      </c>
      <c r="B198" s="14" t="n">
        <v>17</v>
      </c>
      <c r="C198" s="25" t="n">
        <v>162785215.54</v>
      </c>
      <c r="D198" s="25" t="n">
        <v>99835054.56</v>
      </c>
      <c r="E198" s="25" t="n">
        <v>38134224.26</v>
      </c>
      <c r="F198" s="25" t="n">
        <v>15889260.11</v>
      </c>
      <c r="G198" s="25" t="n">
        <v>8926676.62</v>
      </c>
    </row>
    <row r="199" customFormat="false" ht="15" hidden="false" customHeight="false" outlineLevel="0" collapsed="false">
      <c r="A199" s="14" t="n">
        <v>6</v>
      </c>
      <c r="B199" s="14" t="n">
        <v>18</v>
      </c>
      <c r="C199" s="25" t="n">
        <v>155197526.62</v>
      </c>
      <c r="D199" s="25" t="n">
        <v>92290713.42</v>
      </c>
      <c r="E199" s="25" t="n">
        <v>38134224.26</v>
      </c>
      <c r="F199" s="25" t="n">
        <v>15889260.11</v>
      </c>
      <c r="G199" s="25" t="n">
        <v>8883328.83</v>
      </c>
    </row>
    <row r="200" customFormat="false" ht="15" hidden="false" customHeight="false" outlineLevel="0" collapsed="false">
      <c r="A200" s="14" t="n">
        <v>6</v>
      </c>
      <c r="B200" s="14" t="n">
        <v>19</v>
      </c>
      <c r="C200" s="25" t="n">
        <v>147762674.44</v>
      </c>
      <c r="D200" s="25" t="n">
        <v>84900013.43</v>
      </c>
      <c r="E200" s="25" t="n">
        <v>38134224.26</v>
      </c>
      <c r="F200" s="25" t="n">
        <v>15889260.11</v>
      </c>
      <c r="G200" s="25" t="n">
        <v>8839176.65</v>
      </c>
    </row>
    <row r="201" customFormat="false" ht="15" hidden="false" customHeight="false" outlineLevel="0" collapsed="false">
      <c r="A201" s="14" t="n">
        <v>6</v>
      </c>
      <c r="B201" s="14" t="n">
        <v>20</v>
      </c>
      <c r="C201" s="25" t="n">
        <v>140478148.97</v>
      </c>
      <c r="D201" s="25" t="n">
        <v>77660438.12</v>
      </c>
      <c r="E201" s="25" t="n">
        <v>38134224.26</v>
      </c>
      <c r="F201" s="25" t="n">
        <v>15889260.11</v>
      </c>
      <c r="G201" s="25" t="n">
        <v>8794226.49</v>
      </c>
    </row>
    <row r="202" customFormat="false" ht="15" hidden="false" customHeight="false" outlineLevel="0" collapsed="false">
      <c r="A202" s="14" t="n">
        <v>6</v>
      </c>
      <c r="B202" s="14" t="n">
        <v>21</v>
      </c>
      <c r="C202" s="25" t="n">
        <v>133341477.68</v>
      </c>
      <c r="D202" s="25" t="n">
        <v>70569508.69</v>
      </c>
      <c r="E202" s="25" t="n">
        <v>38134224.26</v>
      </c>
      <c r="F202" s="25" t="n">
        <v>15889260.11</v>
      </c>
      <c r="G202" s="25" t="n">
        <v>8748484.63</v>
      </c>
    </row>
    <row r="203" customFormat="false" ht="15" hidden="false" customHeight="false" outlineLevel="0" collapsed="false">
      <c r="A203" s="14" t="n">
        <v>6</v>
      </c>
      <c r="B203" s="14" t="n">
        <v>22</v>
      </c>
      <c r="C203" s="25" t="n">
        <v>126350225.01</v>
      </c>
      <c r="D203" s="25" t="n">
        <v>63624783.45</v>
      </c>
      <c r="E203" s="25" t="n">
        <v>38134224.26</v>
      </c>
      <c r="F203" s="25" t="n">
        <v>15889260.11</v>
      </c>
      <c r="G203" s="25" t="n">
        <v>8701957.2</v>
      </c>
    </row>
    <row r="204" customFormat="false" ht="15" hidden="false" customHeight="false" outlineLevel="0" collapsed="false">
      <c r="A204" s="14" t="n">
        <v>6</v>
      </c>
      <c r="B204" s="14" t="n">
        <v>23</v>
      </c>
      <c r="C204" s="25" t="n">
        <v>119501991.84</v>
      </c>
      <c r="D204" s="25" t="n">
        <v>56823857.3</v>
      </c>
      <c r="E204" s="25" t="n">
        <v>38134224.26</v>
      </c>
      <c r="F204" s="25" t="n">
        <v>15889260.11</v>
      </c>
      <c r="G204" s="25" t="n">
        <v>8654650.18</v>
      </c>
    </row>
    <row r="205" customFormat="false" ht="15" hidden="false" customHeight="false" outlineLevel="0" collapsed="false">
      <c r="A205" s="14" t="n">
        <v>6</v>
      </c>
      <c r="B205" s="14" t="n">
        <v>24</v>
      </c>
      <c r="C205" s="25" t="n">
        <v>112794414.96</v>
      </c>
      <c r="D205" s="25" t="n">
        <v>50164361.18</v>
      </c>
      <c r="E205" s="25" t="n">
        <v>38134224.26</v>
      </c>
      <c r="F205" s="25" t="n">
        <v>15889260.11</v>
      </c>
      <c r="G205" s="25" t="n">
        <v>8606569.42</v>
      </c>
    </row>
    <row r="206" customFormat="false" ht="15" hidden="false" customHeight="false" outlineLevel="0" collapsed="false">
      <c r="A206" s="14" t="n">
        <v>6</v>
      </c>
      <c r="B206" s="14" t="n">
        <v>25</v>
      </c>
      <c r="C206" s="25" t="n">
        <v>106225166.62</v>
      </c>
      <c r="D206" s="25" t="n">
        <v>43643961.62</v>
      </c>
      <c r="E206" s="25" t="n">
        <v>38134224.26</v>
      </c>
      <c r="F206" s="25" t="n">
        <v>15889260.11</v>
      </c>
      <c r="G206" s="25" t="n">
        <v>8557720.64</v>
      </c>
    </row>
    <row r="207" customFormat="false" ht="15" hidden="false" customHeight="false" outlineLevel="0" collapsed="false">
      <c r="A207" s="14" t="n">
        <v>6</v>
      </c>
      <c r="B207" s="14" t="n">
        <v>26</v>
      </c>
      <c r="C207" s="25" t="n">
        <v>99791953.95</v>
      </c>
      <c r="D207" s="25" t="n">
        <v>37260360.19</v>
      </c>
      <c r="E207" s="25" t="n">
        <v>38134224.26</v>
      </c>
      <c r="F207" s="25" t="n">
        <v>15889260.11</v>
      </c>
      <c r="G207" s="25" t="n">
        <v>8508109.4</v>
      </c>
    </row>
    <row r="208" customFormat="false" ht="15" hidden="false" customHeight="false" outlineLevel="0" collapsed="false">
      <c r="A208" s="14" t="n">
        <v>6</v>
      </c>
      <c r="B208" s="14" t="n">
        <v>27</v>
      </c>
      <c r="C208" s="25" t="n">
        <v>93492518.53</v>
      </c>
      <c r="D208" s="25" t="n">
        <v>31011293.02</v>
      </c>
      <c r="E208" s="25" t="n">
        <v>38134224.26</v>
      </c>
      <c r="F208" s="25" t="n">
        <v>15889260.11</v>
      </c>
      <c r="G208" s="25" t="n">
        <v>8457741.15</v>
      </c>
    </row>
    <row r="209" customFormat="false" ht="15" hidden="false" customHeight="false" outlineLevel="0" collapsed="false">
      <c r="A209" s="14" t="n">
        <v>6</v>
      </c>
      <c r="B209" s="14" t="n">
        <v>28</v>
      </c>
      <c r="C209" s="25" t="n">
        <v>87324635.86</v>
      </c>
      <c r="D209" s="25" t="n">
        <v>24894530.3</v>
      </c>
      <c r="E209" s="25" t="n">
        <v>38134224.26</v>
      </c>
      <c r="F209" s="25" t="n">
        <v>15889260.11</v>
      </c>
      <c r="G209" s="25" t="n">
        <v>8406621.2</v>
      </c>
    </row>
    <row r="210" customFormat="false" ht="15" hidden="false" customHeight="false" outlineLevel="0" collapsed="false">
      <c r="A210" s="14" t="n">
        <v>6</v>
      </c>
      <c r="B210" s="14" t="n">
        <v>29</v>
      </c>
      <c r="C210" s="25" t="n">
        <v>81286114.9</v>
      </c>
      <c r="D210" s="25" t="n">
        <v>18907875.82</v>
      </c>
      <c r="E210" s="25" t="n">
        <v>38134224.26</v>
      </c>
      <c r="F210" s="25" t="n">
        <v>15889260.11</v>
      </c>
      <c r="G210" s="25" t="n">
        <v>8354754.72</v>
      </c>
    </row>
    <row r="211" customFormat="false" ht="15" hidden="false" customHeight="false" outlineLevel="0" collapsed="false">
      <c r="A211" s="14" t="n">
        <v>6</v>
      </c>
      <c r="B211" s="14" t="n">
        <v>30</v>
      </c>
      <c r="C211" s="25" t="n">
        <v>75374797.59</v>
      </c>
      <c r="D211" s="25" t="n">
        <v>13049166.47</v>
      </c>
      <c r="E211" s="25" t="n">
        <v>38134224.26</v>
      </c>
      <c r="F211" s="25" t="n">
        <v>15889260.11</v>
      </c>
      <c r="G211" s="25" t="n">
        <v>8302146.76</v>
      </c>
    </row>
    <row r="212" customFormat="false" ht="15" hidden="false" customHeight="false" outlineLevel="0" collapsed="false">
      <c r="A212" s="14" t="n">
        <v>6</v>
      </c>
      <c r="B212" s="14" t="n">
        <v>31</v>
      </c>
      <c r="C212" s="25" t="n">
        <v>69588558.36</v>
      </c>
      <c r="D212" s="25" t="n">
        <v>7316271.76</v>
      </c>
      <c r="E212" s="25" t="n">
        <v>38134224.26</v>
      </c>
      <c r="F212" s="25" t="n">
        <v>15889260.11</v>
      </c>
      <c r="G212" s="25" t="n">
        <v>8248802.24</v>
      </c>
    </row>
    <row r="213" customFormat="false" ht="15" hidden="false" customHeight="false" outlineLevel="0" collapsed="false">
      <c r="A213" s="14" t="n">
        <v>6</v>
      </c>
      <c r="B213" s="14" t="n">
        <v>32</v>
      </c>
      <c r="C213" s="25" t="n">
        <v>63925303.71</v>
      </c>
      <c r="D213" s="25" t="n">
        <v>1707093.39</v>
      </c>
      <c r="E213" s="25" t="n">
        <v>38134224.26</v>
      </c>
      <c r="F213" s="25" t="n">
        <v>15889260.11</v>
      </c>
      <c r="G213" s="25" t="n">
        <v>8194725.96</v>
      </c>
    </row>
    <row r="214" customFormat="false" ht="15" hidden="false" customHeight="false" outlineLevel="0" collapsed="false">
      <c r="A214" s="14" t="n">
        <v>6</v>
      </c>
      <c r="B214" s="14" t="n">
        <v>33</v>
      </c>
      <c r="C214" s="25" t="n">
        <v>58382971.73</v>
      </c>
      <c r="D214" s="25" t="n">
        <v>0</v>
      </c>
      <c r="E214" s="25" t="n">
        <v>34353789.04</v>
      </c>
      <c r="F214" s="25" t="n">
        <v>15889260.11</v>
      </c>
      <c r="G214" s="25" t="n">
        <v>8139922.58</v>
      </c>
    </row>
    <row r="215" customFormat="false" ht="15" hidden="false" customHeight="false" outlineLevel="0" collapsed="false">
      <c r="A215" s="14" t="n">
        <v>6</v>
      </c>
      <c r="B215" s="14" t="n">
        <v>34</v>
      </c>
      <c r="C215" s="25" t="n">
        <v>52959531.64</v>
      </c>
      <c r="D215" s="25" t="n">
        <v>0</v>
      </c>
      <c r="E215" s="25" t="n">
        <v>28981149.32</v>
      </c>
      <c r="F215" s="25" t="n">
        <v>15889260.11</v>
      </c>
      <c r="G215" s="25" t="n">
        <v>8089122.21</v>
      </c>
    </row>
    <row r="216" customFormat="false" ht="15" hidden="false" customHeight="false" outlineLevel="0" collapsed="false">
      <c r="A216" s="14" t="n">
        <v>6</v>
      </c>
      <c r="B216" s="14" t="n">
        <v>35</v>
      </c>
      <c r="C216" s="25" t="n">
        <v>47652983.36</v>
      </c>
      <c r="D216" s="25" t="n">
        <v>0</v>
      </c>
      <c r="E216" s="25" t="n">
        <v>23719376.17</v>
      </c>
      <c r="F216" s="25" t="n">
        <v>15889260.11</v>
      </c>
      <c r="G216" s="25" t="n">
        <v>8044347.08</v>
      </c>
    </row>
    <row r="217" customFormat="false" ht="15" hidden="false" customHeight="false" outlineLevel="0" collapsed="false">
      <c r="A217" s="14" t="n">
        <v>6</v>
      </c>
      <c r="B217" s="14" t="n">
        <v>36</v>
      </c>
      <c r="C217" s="25" t="n">
        <v>42461357.09</v>
      </c>
      <c r="D217" s="25" t="n">
        <v>0</v>
      </c>
      <c r="E217" s="25" t="n">
        <v>18566594.71</v>
      </c>
      <c r="F217" s="25" t="n">
        <v>15889260.11</v>
      </c>
      <c r="G217" s="25" t="n">
        <v>8005502.27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3" min="1" style="1" width="14"/>
  </cols>
  <sheetData>
    <row r="1" customFormat="false" ht="17.35" hidden="false" customHeight="false" outlineLevel="0" collapsed="false">
      <c r="A1" s="2" t="s">
        <v>92</v>
      </c>
    </row>
    <row r="2" customFormat="false" ht="15" hidden="false" customHeight="false" outlineLevel="0" collapsed="false">
      <c r="A2" s="3" t="s">
        <v>93</v>
      </c>
      <c r="B2" s="4" t="str">
        <f aca="false">INDEX(Assumptions!$B$18:$B$23,MATCH(Assumptions!$B$10,Assumptions!$A$18:$A$23,0))</f>
        <v>Severe Stress</v>
      </c>
      <c r="D2" s="3" t="s">
        <v>94</v>
      </c>
      <c r="H2" s="26" t="n">
        <f aca="false">MAX(MAX(AW7:BA42),-MIN(AW7:BA42))</f>
        <v>0.00494932848960161</v>
      </c>
      <c r="I2" s="4" t="str">
        <f aca="false">IF(H2&lt;1,"PASS","FAIL")</f>
        <v>PASS</v>
      </c>
    </row>
    <row r="3" customFormat="false" ht="15" hidden="false" customHeight="false" outlineLevel="0" collapsed="false">
      <c r="D3" s="3" t="s">
        <v>95</v>
      </c>
      <c r="H3" s="26" t="n">
        <f aca="false">MAX(MAX(AQ7:AQ42),-MIN(AQ7:AQ42))</f>
        <v>-0</v>
      </c>
      <c r="I3" s="4" t="str">
        <f aca="false">IF(H3&lt;1,"PASS","FAIL")</f>
        <v>PASS</v>
      </c>
    </row>
    <row r="6" customFormat="false" ht="31.5" hidden="false" customHeight="true" outlineLevel="0" collapsed="false">
      <c r="A6" s="27" t="s">
        <v>96</v>
      </c>
      <c r="B6" s="27" t="s">
        <v>97</v>
      </c>
      <c r="C6" s="27" t="s">
        <v>98</v>
      </c>
      <c r="D6" s="27" t="s">
        <v>99</v>
      </c>
      <c r="E6" s="27" t="s">
        <v>100</v>
      </c>
      <c r="F6" s="27" t="s">
        <v>101</v>
      </c>
      <c r="G6" s="27" t="s">
        <v>102</v>
      </c>
      <c r="H6" s="27" t="s">
        <v>103</v>
      </c>
      <c r="I6" s="27" t="s">
        <v>104</v>
      </c>
      <c r="J6" s="27" t="s">
        <v>105</v>
      </c>
      <c r="K6" s="27" t="s">
        <v>106</v>
      </c>
      <c r="L6" s="27" t="s">
        <v>107</v>
      </c>
      <c r="M6" s="27" t="s">
        <v>108</v>
      </c>
      <c r="N6" s="27" t="s">
        <v>109</v>
      </c>
      <c r="O6" s="27" t="s">
        <v>110</v>
      </c>
      <c r="P6" s="27" t="s">
        <v>111</v>
      </c>
      <c r="Q6" s="27" t="s">
        <v>112</v>
      </c>
      <c r="R6" s="27" t="s">
        <v>113</v>
      </c>
      <c r="S6" s="27" t="s">
        <v>114</v>
      </c>
      <c r="T6" s="27" t="s">
        <v>115</v>
      </c>
      <c r="U6" s="27" t="s">
        <v>116</v>
      </c>
      <c r="V6" s="27" t="s">
        <v>117</v>
      </c>
      <c r="W6" s="27" t="s">
        <v>118</v>
      </c>
      <c r="X6" s="27" t="s">
        <v>119</v>
      </c>
      <c r="Y6" s="27" t="s">
        <v>120</v>
      </c>
      <c r="Z6" s="27" t="s">
        <v>121</v>
      </c>
      <c r="AA6" s="27" t="s">
        <v>122</v>
      </c>
      <c r="AB6" s="27" t="s">
        <v>123</v>
      </c>
      <c r="AC6" s="27" t="s">
        <v>124</v>
      </c>
      <c r="AD6" s="27" t="s">
        <v>125</v>
      </c>
      <c r="AE6" s="27" t="s">
        <v>126</v>
      </c>
      <c r="AF6" s="27" t="s">
        <v>127</v>
      </c>
      <c r="AG6" s="27" t="s">
        <v>128</v>
      </c>
      <c r="AH6" s="27" t="s">
        <v>129</v>
      </c>
      <c r="AI6" s="27" t="s">
        <v>130</v>
      </c>
      <c r="AJ6" s="27" t="s">
        <v>131</v>
      </c>
      <c r="AK6" s="27" t="s">
        <v>132</v>
      </c>
      <c r="AL6" s="27" t="s">
        <v>133</v>
      </c>
      <c r="AM6" s="27" t="s">
        <v>134</v>
      </c>
      <c r="AN6" s="27" t="s">
        <v>135</v>
      </c>
      <c r="AO6" s="27" t="s">
        <v>136</v>
      </c>
      <c r="AP6" s="27" t="s">
        <v>137</v>
      </c>
      <c r="AQ6" s="27" t="s">
        <v>138</v>
      </c>
      <c r="AR6" s="27" t="s">
        <v>139</v>
      </c>
      <c r="AS6" s="27" t="s">
        <v>140</v>
      </c>
      <c r="AT6" s="27" t="s">
        <v>141</v>
      </c>
      <c r="AU6" s="27" t="s">
        <v>142</v>
      </c>
      <c r="AV6" s="27" t="s">
        <v>143</v>
      </c>
      <c r="AW6" s="27" t="s">
        <v>144</v>
      </c>
      <c r="AX6" s="27" t="s">
        <v>145</v>
      </c>
      <c r="AY6" s="27" t="s">
        <v>146</v>
      </c>
      <c r="AZ6" s="27" t="s">
        <v>147</v>
      </c>
      <c r="BA6" s="27" t="s">
        <v>148</v>
      </c>
    </row>
    <row r="7" customFormat="false" ht="15" hidden="false" customHeight="false" outlineLevel="0" collapsed="false">
      <c r="A7" s="28" t="n">
        <v>1</v>
      </c>
      <c r="B7" s="29" t="n">
        <f aca="false">Assumptions!$B$8</f>
        <v>317785202.14</v>
      </c>
      <c r="C7" s="29" t="n">
        <f aca="false">B7*Assumptions!$B$14</f>
        <v>3522277.1309017</v>
      </c>
      <c r="D7" s="29" t="n">
        <f aca="false">B7-C7</f>
        <v>314262925.009098</v>
      </c>
      <c r="E7" s="29" t="n">
        <f aca="false">D7*Assumptions!$B$15</f>
        <v>1405836.12249749</v>
      </c>
      <c r="F7" s="29" t="n">
        <f aca="false">(D7-E7)/MAX(Assumptions!$B$7-A7+1,1)</f>
        <v>6930390.19599332</v>
      </c>
      <c r="G7" s="29" t="n">
        <f aca="false">D7*Assumptions!$B$6/12</f>
        <v>2866457.84096627</v>
      </c>
      <c r="H7" s="29" t="n">
        <f aca="false">C7*(1-Assumptions!$B$13)</f>
        <v>1533247.23508151</v>
      </c>
      <c r="I7" s="29" t="n">
        <f aca="false">C7*Assumptions!$B$13</f>
        <v>1989029.89582019</v>
      </c>
      <c r="J7" s="29" t="n">
        <f aca="false">B7*Assumptions!$B$9/12</f>
        <v>132410.500891667</v>
      </c>
      <c r="K7" s="29" t="n">
        <f aca="false">MAX(G7-J7,0)</f>
        <v>2734047.3400746</v>
      </c>
      <c r="L7" s="29" t="n">
        <f aca="false">Assumptions!$B$8*Assumptions!$B$27</f>
        <v>254228161.712</v>
      </c>
      <c r="M7" s="29" t="n">
        <f aca="false">Assumptions!$B$8*Assumptions!$B$28</f>
        <v>38134224.2568</v>
      </c>
      <c r="N7" s="29" t="n">
        <f aca="false">Assumptions!$B$8*Assumptions!$B$29</f>
        <v>15889260.107</v>
      </c>
      <c r="O7" s="29" t="n">
        <f aca="false">Assumptions!$B$8*Assumptions!$B$30</f>
        <v>9533556.0642</v>
      </c>
      <c r="P7" s="29" t="n">
        <f aca="false">L7*Assumptions!$C$27/12</f>
        <v>1482997.60998667</v>
      </c>
      <c r="Q7" s="29" t="n">
        <f aca="false">M7*Assumptions!$C$28/12</f>
        <v>270117.421819</v>
      </c>
      <c r="R7" s="29" t="n">
        <f aca="false">N7*Assumptions!$C$29/12</f>
        <v>152272.076025417</v>
      </c>
      <c r="S7" s="29" t="n">
        <f aca="false">MIN(P7,K7)</f>
        <v>1482997.60998667</v>
      </c>
      <c r="T7" s="29" t="n">
        <f aca="false">MIN(Q7,K7-S7)</f>
        <v>270117.421819</v>
      </c>
      <c r="U7" s="29" t="n">
        <f aca="false">MIN(R7,K7-S7-T7)</f>
        <v>152272.076025417</v>
      </c>
      <c r="V7" s="29" t="n">
        <f aca="false">K7-S7-T7-U7</f>
        <v>828660.232243519</v>
      </c>
      <c r="W7" s="29" t="n">
        <f aca="false">MIN(V7,I7)</f>
        <v>828660.232243519</v>
      </c>
      <c r="X7" s="29" t="n">
        <f aca="false">V7-W7</f>
        <v>0</v>
      </c>
      <c r="Y7" s="29" t="n">
        <f aca="false">MIN(O7,I7-W7)</f>
        <v>1160369.66357667</v>
      </c>
      <c r="Z7" s="29" t="n">
        <f aca="false">MIN(N7,I7-W7-Y7)</f>
        <v>0</v>
      </c>
      <c r="AA7" s="29" t="n">
        <f aca="false">MIN(M7,I7-W7-Y7-Z7)</f>
        <v>0</v>
      </c>
      <c r="AB7" s="29" t="n">
        <f aca="false">MIN(L7,I7-W7-Y7-Z7-AA7)</f>
        <v>0</v>
      </c>
      <c r="AC7" s="29" t="n">
        <f aca="false">L7-AB7</f>
        <v>254228161.712</v>
      </c>
      <c r="AD7" s="29" t="n">
        <f aca="false">N7-Z7</f>
        <v>15889260.107</v>
      </c>
      <c r="AE7" s="29" t="n">
        <f aca="false">M7-AA7</f>
        <v>38134224.2568</v>
      </c>
      <c r="AF7" s="29" t="n">
        <f aca="false">O7-Y7</f>
        <v>8373186.40062333</v>
      </c>
      <c r="AG7" s="29" t="n">
        <f aca="false">F7+E7+H7+W7</f>
        <v>10698133.7858158</v>
      </c>
      <c r="AH7" s="29" t="n">
        <f aca="false">MIN(AC7,AG7)</f>
        <v>10698133.7858158</v>
      </c>
      <c r="AI7" s="29" t="n">
        <f aca="false">MIN(AE7,AG7-AH7)</f>
        <v>0</v>
      </c>
      <c r="AJ7" s="29" t="n">
        <f aca="false">MIN(AD7,AG7-AH7-AI7)</f>
        <v>0</v>
      </c>
      <c r="AK7" s="29" t="n">
        <f aca="false">MIN(AF7,AG7-AH7-AI7-AJ7)</f>
        <v>0</v>
      </c>
      <c r="AL7" s="29" t="n">
        <f aca="false">AC7-AH7</f>
        <v>243530027.926184</v>
      </c>
      <c r="AM7" s="29" t="n">
        <f aca="false">AE7-AI7</f>
        <v>38134224.2568</v>
      </c>
      <c r="AN7" s="29" t="n">
        <f aca="false">AD7-AJ7</f>
        <v>15889260.107</v>
      </c>
      <c r="AO7" s="29" t="n">
        <f aca="false">AF7-AK7</f>
        <v>8373186.40062333</v>
      </c>
      <c r="AP7" s="29" t="n">
        <f aca="false">D7-E7-F7</f>
        <v>305926698.690608</v>
      </c>
      <c r="AQ7" s="29" t="n">
        <f aca="false">SUM(AL7:AO7)-AP7</f>
        <v>0</v>
      </c>
      <c r="AR7" s="29" t="n">
        <f aca="false">SUMIFS(Python_Results!$C$2:$C$217,Python_Results!$A$2:$A$217,Assumptions!$B$10,Python_Results!$B$2:$B$217,A7)</f>
        <v>305926698.69</v>
      </c>
      <c r="AS7" s="29" t="n">
        <f aca="false">SUMIFS(Python_Results!$D$2:$D$217,Python_Results!$A$2:$A$217,Assumptions!$B$10,Python_Results!$B$2:$B$217,A7)</f>
        <v>243530027.93</v>
      </c>
      <c r="AT7" s="29" t="n">
        <f aca="false">SUMIFS(Python_Results!$E$2:$E$217,Python_Results!$A$2:$A$217,Assumptions!$B$10,Python_Results!$B$2:$B$217,A7)</f>
        <v>38134224.26</v>
      </c>
      <c r="AU7" s="29" t="n">
        <f aca="false">SUMIFS(Python_Results!$F$2:$F$217,Python_Results!$A$2:$A$217,Assumptions!$B$10,Python_Results!$B$2:$B$217,A7)</f>
        <v>15889260.11</v>
      </c>
      <c r="AV7" s="29" t="n">
        <f aca="false">SUMIFS(Python_Results!$G$2:$G$217,Python_Results!$A$2:$A$217,Assumptions!$B$10,Python_Results!$B$2:$B$217,A7)</f>
        <v>8373186.4</v>
      </c>
      <c r="AW7" s="29" t="n">
        <f aca="false">AP7-AR7</f>
        <v>0.000607490539550781</v>
      </c>
      <c r="AX7" s="29" t="n">
        <f aca="false">AL7-AS7</f>
        <v>-0.00381582975387573</v>
      </c>
      <c r="AY7" s="29" t="n">
        <f aca="false">AM7-AT7</f>
        <v>-0.00320000201463699</v>
      </c>
      <c r="AZ7" s="29" t="n">
        <f aca="false">AN7-AU7</f>
        <v>-0.00299999862909317</v>
      </c>
      <c r="BA7" s="29" t="n">
        <f aca="false">AO7-AV7</f>
        <v>0.000623326748609543</v>
      </c>
    </row>
    <row r="8" customFormat="false" ht="15" hidden="false" customHeight="false" outlineLevel="0" collapsed="false">
      <c r="A8" s="28" t="n">
        <v>2</v>
      </c>
      <c r="B8" s="29" t="n">
        <f aca="false">AP7</f>
        <v>305926698.690608</v>
      </c>
      <c r="C8" s="29" t="n">
        <f aca="false">B8*Assumptions!$B$14</f>
        <v>3390839.49558943</v>
      </c>
      <c r="D8" s="29" t="n">
        <f aca="false">B8-C8</f>
        <v>302535859.195018</v>
      </c>
      <c r="E8" s="29" t="n">
        <f aca="false">D8*Assumptions!$B$15</f>
        <v>1353375.80529061</v>
      </c>
      <c r="F8" s="29" t="n">
        <f aca="false">(D8-E8)/MAX(Assumptions!$B$7-A8+1,1)</f>
        <v>6822915.87829033</v>
      </c>
      <c r="G8" s="29" t="n">
        <f aca="false">D8*Assumptions!$B$6/12</f>
        <v>2759492.82193539</v>
      </c>
      <c r="H8" s="29" t="n">
        <f aca="false">C8*(1-Assumptions!$B$13)</f>
        <v>1476032.43243008</v>
      </c>
      <c r="I8" s="29" t="n">
        <f aca="false">C8*Assumptions!$B$13</f>
        <v>1914807.06315935</v>
      </c>
      <c r="J8" s="29" t="n">
        <f aca="false">B8*Assumptions!$B$9/12</f>
        <v>127469.457787753</v>
      </c>
      <c r="K8" s="29" t="n">
        <f aca="false">MAX(G8-J8,0)</f>
        <v>2632023.36414764</v>
      </c>
      <c r="L8" s="29" t="n">
        <f aca="false">AL7</f>
        <v>243530027.926184</v>
      </c>
      <c r="M8" s="29" t="n">
        <f aca="false">AM7</f>
        <v>38134224.2568</v>
      </c>
      <c r="N8" s="29" t="n">
        <f aca="false">AN7</f>
        <v>15889260.107</v>
      </c>
      <c r="O8" s="29" t="n">
        <f aca="false">AO7</f>
        <v>8373186.40062333</v>
      </c>
      <c r="P8" s="29" t="n">
        <f aca="false">L8*Assumptions!$C$27/12</f>
        <v>1420591.82956941</v>
      </c>
      <c r="Q8" s="29" t="n">
        <f aca="false">M8*Assumptions!$C$28/12</f>
        <v>270117.421819</v>
      </c>
      <c r="R8" s="29" t="n">
        <f aca="false">N8*Assumptions!$C$29/12</f>
        <v>152272.076025417</v>
      </c>
      <c r="S8" s="29" t="n">
        <f aca="false">MIN(P8,K8)</f>
        <v>1420591.82956941</v>
      </c>
      <c r="T8" s="29" t="n">
        <f aca="false">MIN(Q8,K8-S8)</f>
        <v>270117.421819</v>
      </c>
      <c r="U8" s="29" t="n">
        <f aca="false">MIN(R8,K8-S8-T8)</f>
        <v>152272.076025417</v>
      </c>
      <c r="V8" s="29" t="n">
        <f aca="false">K8-S8-T8-U8</f>
        <v>789042.036733814</v>
      </c>
      <c r="W8" s="29" t="n">
        <f aca="false">MIN(V8,I8)</f>
        <v>789042.036733814</v>
      </c>
      <c r="X8" s="29" t="n">
        <f aca="false">V8-W8</f>
        <v>0</v>
      </c>
      <c r="Y8" s="29" t="n">
        <f aca="false">MIN(O8,I8-W8)</f>
        <v>1125765.02642554</v>
      </c>
      <c r="Z8" s="29" t="n">
        <f aca="false">MIN(N8,I8-W8-Y8)</f>
        <v>0</v>
      </c>
      <c r="AA8" s="29" t="n">
        <f aca="false">MIN(M8,I8-W8-Y8-Z8)</f>
        <v>0</v>
      </c>
      <c r="AB8" s="29" t="n">
        <f aca="false">MIN(L8,I8-W8-Y8-Z8-AA8)</f>
        <v>0</v>
      </c>
      <c r="AC8" s="29" t="n">
        <f aca="false">L8-AB8</f>
        <v>243530027.926184</v>
      </c>
      <c r="AD8" s="29" t="n">
        <f aca="false">N8-Z8</f>
        <v>15889260.107</v>
      </c>
      <c r="AE8" s="29" t="n">
        <f aca="false">M8-AA8</f>
        <v>38134224.2568</v>
      </c>
      <c r="AF8" s="29" t="n">
        <f aca="false">O8-Y8</f>
        <v>7247421.37419779</v>
      </c>
      <c r="AG8" s="29" t="n">
        <f aca="false">F8+E8+H8+W8</f>
        <v>10441366.1527448</v>
      </c>
      <c r="AH8" s="29" t="n">
        <f aca="false">MIN(AC8,AG8)</f>
        <v>10441366.1527448</v>
      </c>
      <c r="AI8" s="29" t="n">
        <f aca="false">MIN(AE8,AG8-AH8)</f>
        <v>0</v>
      </c>
      <c r="AJ8" s="29" t="n">
        <f aca="false">MIN(AD8,AG8-AH8-AI8)</f>
        <v>0</v>
      </c>
      <c r="AK8" s="29" t="n">
        <f aca="false">MIN(AF8,AG8-AH8-AI8-AJ8)</f>
        <v>0</v>
      </c>
      <c r="AL8" s="29" t="n">
        <f aca="false">AC8-AH8</f>
        <v>233088661.773439</v>
      </c>
      <c r="AM8" s="29" t="n">
        <f aca="false">AE8-AI8</f>
        <v>38134224.2568</v>
      </c>
      <c r="AN8" s="29" t="n">
        <f aca="false">AD8-AJ8</f>
        <v>15889260.107</v>
      </c>
      <c r="AO8" s="29" t="n">
        <f aca="false">AF8-AK8</f>
        <v>7247421.37419779</v>
      </c>
      <c r="AP8" s="29" t="n">
        <f aca="false">D8-E8-F8</f>
        <v>294359567.511437</v>
      </c>
      <c r="AQ8" s="29" t="n">
        <f aca="false">SUM(AL8:AO8)-AP8</f>
        <v>0</v>
      </c>
      <c r="AR8" s="29" t="n">
        <f aca="false">SUMIFS(Python_Results!$C$2:$C$217,Python_Results!$A$2:$A$217,Assumptions!$B$10,Python_Results!$B$2:$B$217,A8)</f>
        <v>294359567.51</v>
      </c>
      <c r="AS8" s="29" t="n">
        <f aca="false">SUMIFS(Python_Results!$D$2:$D$217,Python_Results!$A$2:$A$217,Assumptions!$B$10,Python_Results!$B$2:$B$217,A8)</f>
        <v>233088661.77</v>
      </c>
      <c r="AT8" s="29" t="n">
        <f aca="false">SUMIFS(Python_Results!$E$2:$E$217,Python_Results!$A$2:$A$217,Assumptions!$B$10,Python_Results!$B$2:$B$217,A8)</f>
        <v>38134224.26</v>
      </c>
      <c r="AU8" s="29" t="n">
        <f aca="false">SUMIFS(Python_Results!$F$2:$F$217,Python_Results!$A$2:$A$217,Assumptions!$B$10,Python_Results!$B$2:$B$217,A8)</f>
        <v>15889260.11</v>
      </c>
      <c r="AV8" s="29" t="n">
        <f aca="false">SUMIFS(Python_Results!$G$2:$G$217,Python_Results!$A$2:$A$217,Assumptions!$B$10,Python_Results!$B$2:$B$217,A8)</f>
        <v>7247421.37</v>
      </c>
      <c r="AW8" s="29" t="n">
        <f aca="false">AP8-AR8</f>
        <v>0.00143706798553467</v>
      </c>
      <c r="AX8" s="29" t="n">
        <f aca="false">AL8-AS8</f>
        <v>0.00343933701515198</v>
      </c>
      <c r="AY8" s="29" t="n">
        <f aca="false">AM8-AT8</f>
        <v>-0.00320000201463699</v>
      </c>
      <c r="AZ8" s="29" t="n">
        <f aca="false">AN8-AU8</f>
        <v>-0.00299999862909317</v>
      </c>
      <c r="BA8" s="29" t="n">
        <f aca="false">AO8-AV8</f>
        <v>0.00419779028743506</v>
      </c>
    </row>
    <row r="9" customFormat="false" ht="15" hidden="false" customHeight="false" outlineLevel="0" collapsed="false">
      <c r="A9" s="28" t="n">
        <v>3</v>
      </c>
      <c r="B9" s="29" t="n">
        <f aca="false">AP8</f>
        <v>294359567.511437</v>
      </c>
      <c r="C9" s="29" t="n">
        <f aca="false">B9*Assumptions!$B$14</f>
        <v>3262631.38096305</v>
      </c>
      <c r="D9" s="29" t="n">
        <f aca="false">B9-C9</f>
        <v>291096936.130474</v>
      </c>
      <c r="E9" s="29" t="n">
        <f aca="false">D9*Assumptions!$B$15</f>
        <v>1302204.47718648</v>
      </c>
      <c r="F9" s="29" t="n">
        <f aca="false">(D9-E9)/MAX(Assumptions!$B$7-A9+1,1)</f>
        <v>6717108.238601</v>
      </c>
      <c r="G9" s="29" t="n">
        <f aca="false">D9*Assumptions!$B$6/12</f>
        <v>2655156.01316413</v>
      </c>
      <c r="H9" s="29" t="n">
        <f aca="false">C9*(1-Assumptions!$B$13)</f>
        <v>1420223.44013322</v>
      </c>
      <c r="I9" s="29" t="n">
        <f aca="false">C9*Assumptions!$B$13</f>
        <v>1842407.94082983</v>
      </c>
      <c r="J9" s="29" t="n">
        <f aca="false">B9*Assumptions!$B$9/12</f>
        <v>122649.819796432</v>
      </c>
      <c r="K9" s="29" t="n">
        <f aca="false">MAX(G9-J9,0)</f>
        <v>2532506.1933677</v>
      </c>
      <c r="L9" s="29" t="n">
        <f aca="false">AL8</f>
        <v>233088661.773439</v>
      </c>
      <c r="M9" s="29" t="n">
        <f aca="false">AM8</f>
        <v>38134224.2568</v>
      </c>
      <c r="N9" s="29" t="n">
        <f aca="false">AN8</f>
        <v>15889260.107</v>
      </c>
      <c r="O9" s="29" t="n">
        <f aca="false">AO8</f>
        <v>7247421.37419779</v>
      </c>
      <c r="P9" s="29" t="n">
        <f aca="false">L9*Assumptions!$C$27/12</f>
        <v>1359683.86034506</v>
      </c>
      <c r="Q9" s="29" t="n">
        <f aca="false">M9*Assumptions!$C$28/12</f>
        <v>270117.421819</v>
      </c>
      <c r="R9" s="29" t="n">
        <f aca="false">N9*Assumptions!$C$29/12</f>
        <v>152272.076025417</v>
      </c>
      <c r="S9" s="29" t="n">
        <f aca="false">MIN(P9,K9)</f>
        <v>1359683.86034506</v>
      </c>
      <c r="T9" s="29" t="n">
        <f aca="false">MIN(Q9,K9-S9)</f>
        <v>270117.421819</v>
      </c>
      <c r="U9" s="29" t="n">
        <f aca="false">MIN(R9,K9-S9-T9)</f>
        <v>152272.076025417</v>
      </c>
      <c r="V9" s="29" t="n">
        <f aca="false">K9-S9-T9-U9</f>
        <v>750432.835178216</v>
      </c>
      <c r="W9" s="29" t="n">
        <f aca="false">MIN(V9,I9)</f>
        <v>750432.835178216</v>
      </c>
      <c r="X9" s="29" t="n">
        <f aca="false">V9-W9</f>
        <v>0</v>
      </c>
      <c r="Y9" s="29" t="n">
        <f aca="false">MIN(O9,I9-W9)</f>
        <v>1091975.10565162</v>
      </c>
      <c r="Z9" s="29" t="n">
        <f aca="false">MIN(N9,I9-W9-Y9)</f>
        <v>0</v>
      </c>
      <c r="AA9" s="29" t="n">
        <f aca="false">MIN(M9,I9-W9-Y9-Z9)</f>
        <v>0</v>
      </c>
      <c r="AB9" s="29" t="n">
        <f aca="false">MIN(L9,I9-W9-Y9-Z9-AA9)</f>
        <v>0</v>
      </c>
      <c r="AC9" s="29" t="n">
        <f aca="false">L9-AB9</f>
        <v>233088661.773439</v>
      </c>
      <c r="AD9" s="29" t="n">
        <f aca="false">N9-Z9</f>
        <v>15889260.107</v>
      </c>
      <c r="AE9" s="29" t="n">
        <f aca="false">M9-AA9</f>
        <v>38134224.2568</v>
      </c>
      <c r="AF9" s="29" t="n">
        <f aca="false">O9-Y9</f>
        <v>6155446.26854617</v>
      </c>
      <c r="AG9" s="29" t="n">
        <f aca="false">F9+E9+H9+W9</f>
        <v>10189968.9910989</v>
      </c>
      <c r="AH9" s="29" t="n">
        <f aca="false">MIN(AC9,AG9)</f>
        <v>10189968.9910989</v>
      </c>
      <c r="AI9" s="29" t="n">
        <f aca="false">MIN(AE9,AG9-AH9)</f>
        <v>0</v>
      </c>
      <c r="AJ9" s="29" t="n">
        <f aca="false">MIN(AD9,AG9-AH9-AI9)</f>
        <v>0</v>
      </c>
      <c r="AK9" s="29" t="n">
        <f aca="false">MIN(AF9,AG9-AH9-AI9-AJ9)</f>
        <v>0</v>
      </c>
      <c r="AL9" s="29" t="n">
        <f aca="false">AC9-AH9</f>
        <v>222898692.78234</v>
      </c>
      <c r="AM9" s="29" t="n">
        <f aca="false">AE9-AI9</f>
        <v>38134224.2568</v>
      </c>
      <c r="AN9" s="29" t="n">
        <f aca="false">AD9-AJ9</f>
        <v>15889260.107</v>
      </c>
      <c r="AO9" s="29" t="n">
        <f aca="false">AF9-AK9</f>
        <v>6155446.26854617</v>
      </c>
      <c r="AP9" s="29" t="n">
        <f aca="false">D9-E9-F9</f>
        <v>283077623.414687</v>
      </c>
      <c r="AQ9" s="29" t="n">
        <f aca="false">SUM(AL9:AO9)-AP9</f>
        <v>0</v>
      </c>
      <c r="AR9" s="29" t="n">
        <f aca="false">SUMIFS(Python_Results!$C$2:$C$217,Python_Results!$A$2:$A$217,Assumptions!$B$10,Python_Results!$B$2:$B$217,A9)</f>
        <v>283077623.41</v>
      </c>
      <c r="AS9" s="29" t="n">
        <f aca="false">SUMIFS(Python_Results!$D$2:$D$217,Python_Results!$A$2:$A$217,Assumptions!$B$10,Python_Results!$B$2:$B$217,A9)</f>
        <v>222898692.78</v>
      </c>
      <c r="AT9" s="29" t="n">
        <f aca="false">SUMIFS(Python_Results!$E$2:$E$217,Python_Results!$A$2:$A$217,Assumptions!$B$10,Python_Results!$B$2:$B$217,A9)</f>
        <v>38134224.26</v>
      </c>
      <c r="AU9" s="29" t="n">
        <f aca="false">SUMIFS(Python_Results!$F$2:$F$217,Python_Results!$A$2:$A$217,Assumptions!$B$10,Python_Results!$B$2:$B$217,A9)</f>
        <v>15889260.11</v>
      </c>
      <c r="AV9" s="29" t="n">
        <f aca="false">SUMIFS(Python_Results!$G$2:$G$217,Python_Results!$A$2:$A$217,Assumptions!$B$10,Python_Results!$B$2:$B$217,A9)</f>
        <v>6155446.27</v>
      </c>
      <c r="AW9" s="29" t="n">
        <f aca="false">AP9-AR9</f>
        <v>0.00468653440475464</v>
      </c>
      <c r="AX9" s="29" t="n">
        <f aca="false">AL9-AS9</f>
        <v>0.00234043598175049</v>
      </c>
      <c r="AY9" s="29" t="n">
        <f aca="false">AM9-AT9</f>
        <v>-0.00320000201463699</v>
      </c>
      <c r="AZ9" s="29" t="n">
        <f aca="false">AN9-AU9</f>
        <v>-0.00299999862909317</v>
      </c>
      <c r="BA9" s="29" t="n">
        <f aca="false">AO9-AV9</f>
        <v>-0.00145382713526487</v>
      </c>
    </row>
    <row r="10" customFormat="false" ht="15" hidden="false" customHeight="false" outlineLevel="0" collapsed="false">
      <c r="A10" s="28" t="n">
        <v>4</v>
      </c>
      <c r="B10" s="29" t="n">
        <f aca="false">AP9</f>
        <v>283077623.414687</v>
      </c>
      <c r="C10" s="29" t="n">
        <f aca="false">B10*Assumptions!$B$14</f>
        <v>3137584.23145296</v>
      </c>
      <c r="D10" s="29" t="n">
        <f aca="false">B10-C10</f>
        <v>279940039.183234</v>
      </c>
      <c r="E10" s="29" t="n">
        <f aca="false">D10*Assumptions!$B$15</f>
        <v>1252294.77580201</v>
      </c>
      <c r="F10" s="29" t="n">
        <f aca="false">(D10-E10)/MAX(Assumptions!$B$7-A10+1,1)</f>
        <v>6612941.43060538</v>
      </c>
      <c r="G10" s="29" t="n">
        <f aca="false">D10*Assumptions!$B$6/12</f>
        <v>2553391.6235711</v>
      </c>
      <c r="H10" s="29" t="n">
        <f aca="false">C10*(1-Assumptions!$B$13)</f>
        <v>1365790.41595147</v>
      </c>
      <c r="I10" s="29" t="n">
        <f aca="false">C10*Assumptions!$B$13</f>
        <v>1771793.81550148</v>
      </c>
      <c r="J10" s="29" t="n">
        <f aca="false">B10*Assumptions!$B$9/12</f>
        <v>117949.009756119</v>
      </c>
      <c r="K10" s="29" t="n">
        <f aca="false">MAX(G10-J10,0)</f>
        <v>2435442.61381498</v>
      </c>
      <c r="L10" s="29" t="n">
        <f aca="false">AL9</f>
        <v>222898692.78234</v>
      </c>
      <c r="M10" s="29" t="n">
        <f aca="false">AM9</f>
        <v>38134224.2568</v>
      </c>
      <c r="N10" s="29" t="n">
        <f aca="false">AN9</f>
        <v>15889260.107</v>
      </c>
      <c r="O10" s="29" t="n">
        <f aca="false">AO9</f>
        <v>6155446.26854617</v>
      </c>
      <c r="P10" s="29" t="n">
        <f aca="false">L10*Assumptions!$C$27/12</f>
        <v>1300242.37456365</v>
      </c>
      <c r="Q10" s="29" t="n">
        <f aca="false">M10*Assumptions!$C$28/12</f>
        <v>270117.421819</v>
      </c>
      <c r="R10" s="29" t="n">
        <f aca="false">N10*Assumptions!$C$29/12</f>
        <v>152272.076025417</v>
      </c>
      <c r="S10" s="29" t="n">
        <f aca="false">MIN(P10,K10)</f>
        <v>1300242.37456365</v>
      </c>
      <c r="T10" s="29" t="n">
        <f aca="false">MIN(Q10,K10-S10)</f>
        <v>270117.421819</v>
      </c>
      <c r="U10" s="29" t="n">
        <f aca="false">MIN(R10,K10-S10-T10)</f>
        <v>152272.076025417</v>
      </c>
      <c r="V10" s="29" t="n">
        <f aca="false">K10-S10-T10-U10</f>
        <v>712810.741406913</v>
      </c>
      <c r="W10" s="29" t="n">
        <f aca="false">MIN(V10,I10)</f>
        <v>712810.741406913</v>
      </c>
      <c r="X10" s="29" t="n">
        <f aca="false">V10-W10</f>
        <v>0</v>
      </c>
      <c r="Y10" s="29" t="n">
        <f aca="false">MIN(O10,I10-W10)</f>
        <v>1058983.07409457</v>
      </c>
      <c r="Z10" s="29" t="n">
        <f aca="false">MIN(N10,I10-W10-Y10)</f>
        <v>0</v>
      </c>
      <c r="AA10" s="29" t="n">
        <f aca="false">MIN(M10,I10-W10-Y10-Z10)</f>
        <v>0</v>
      </c>
      <c r="AB10" s="29" t="n">
        <f aca="false">MIN(L10,I10-W10-Y10-Z10-AA10)</f>
        <v>0</v>
      </c>
      <c r="AC10" s="29" t="n">
        <f aca="false">L10-AB10</f>
        <v>222898692.78234</v>
      </c>
      <c r="AD10" s="29" t="n">
        <f aca="false">N10-Z10</f>
        <v>15889260.107</v>
      </c>
      <c r="AE10" s="29" t="n">
        <f aca="false">M10-AA10</f>
        <v>38134224.2568</v>
      </c>
      <c r="AF10" s="29" t="n">
        <f aca="false">O10-Y10</f>
        <v>5096463.1944516</v>
      </c>
      <c r="AG10" s="29" t="n">
        <f aca="false">F10+E10+H10+W10</f>
        <v>9943837.36376577</v>
      </c>
      <c r="AH10" s="29" t="n">
        <f aca="false">MIN(AC10,AG10)</f>
        <v>9943837.36376577</v>
      </c>
      <c r="AI10" s="29" t="n">
        <f aca="false">MIN(AE10,AG10-AH10)</f>
        <v>0</v>
      </c>
      <c r="AJ10" s="29" t="n">
        <f aca="false">MIN(AD10,AG10-AH10-AI10)</f>
        <v>0</v>
      </c>
      <c r="AK10" s="29" t="n">
        <f aca="false">MIN(AF10,AG10-AH10-AI10-AJ10)</f>
        <v>0</v>
      </c>
      <c r="AL10" s="29" t="n">
        <f aca="false">AC10-AH10</f>
        <v>212954855.418575</v>
      </c>
      <c r="AM10" s="29" t="n">
        <f aca="false">AE10-AI10</f>
        <v>38134224.2568</v>
      </c>
      <c r="AN10" s="29" t="n">
        <f aca="false">AD10-AJ10</f>
        <v>15889260.107</v>
      </c>
      <c r="AO10" s="29" t="n">
        <f aca="false">AF10-AK10</f>
        <v>5096463.1944516</v>
      </c>
      <c r="AP10" s="29" t="n">
        <f aca="false">D10-E10-F10</f>
        <v>272074802.976826</v>
      </c>
      <c r="AQ10" s="29" t="n">
        <f aca="false">SUM(AL10:AO10)-AP10</f>
        <v>0</v>
      </c>
      <c r="AR10" s="29" t="n">
        <f aca="false">SUMIFS(Python_Results!$C$2:$C$217,Python_Results!$A$2:$A$217,Assumptions!$B$10,Python_Results!$B$2:$B$217,A10)</f>
        <v>272074802.98</v>
      </c>
      <c r="AS10" s="29" t="n">
        <f aca="false">SUMIFS(Python_Results!$D$2:$D$217,Python_Results!$A$2:$A$217,Assumptions!$B$10,Python_Results!$B$2:$B$217,A10)</f>
        <v>212954855.42</v>
      </c>
      <c r="AT10" s="29" t="n">
        <f aca="false">SUMIFS(Python_Results!$E$2:$E$217,Python_Results!$A$2:$A$217,Assumptions!$B$10,Python_Results!$B$2:$B$217,A10)</f>
        <v>38134224.26</v>
      </c>
      <c r="AU10" s="29" t="n">
        <f aca="false">SUMIFS(Python_Results!$F$2:$F$217,Python_Results!$A$2:$A$217,Assumptions!$B$10,Python_Results!$B$2:$B$217,A10)</f>
        <v>15889260.11</v>
      </c>
      <c r="AV10" s="29" t="n">
        <f aca="false">SUMIFS(Python_Results!$G$2:$G$217,Python_Results!$A$2:$A$217,Assumptions!$B$10,Python_Results!$B$2:$B$217,A10)</f>
        <v>5096463.19</v>
      </c>
      <c r="AW10" s="29" t="n">
        <f aca="false">AP10-AR10</f>
        <v>-0.00317376852035522</v>
      </c>
      <c r="AX10" s="29" t="n">
        <f aca="false">AL10-AS10</f>
        <v>-0.00142532587051392</v>
      </c>
      <c r="AY10" s="29" t="n">
        <f aca="false">AM10-AT10</f>
        <v>-0.00320000201463699</v>
      </c>
      <c r="AZ10" s="29" t="n">
        <f aca="false">AN10-AU10</f>
        <v>-0.00299999862909317</v>
      </c>
      <c r="BA10" s="29" t="n">
        <f aca="false">AO10-AV10</f>
        <v>0.00445159990340471</v>
      </c>
    </row>
    <row r="11" customFormat="false" ht="15" hidden="false" customHeight="false" outlineLevel="0" collapsed="false">
      <c r="A11" s="28" t="n">
        <v>5</v>
      </c>
      <c r="B11" s="29" t="n">
        <f aca="false">AP10</f>
        <v>272074802.976826</v>
      </c>
      <c r="C11" s="29" t="n">
        <f aca="false">B11*Assumptions!$B$14</f>
        <v>3015630.84110403</v>
      </c>
      <c r="D11" s="29" t="n">
        <f aca="false">B11-C11</f>
        <v>269059172.135722</v>
      </c>
      <c r="E11" s="29" t="n">
        <f aca="false">D11*Assumptions!$B$15</f>
        <v>1203619.87742181</v>
      </c>
      <c r="F11" s="29" t="n">
        <f aca="false">(D11-E11)/MAX(Assumptions!$B$7-A11+1,1)</f>
        <v>6510390.00880015</v>
      </c>
      <c r="G11" s="29" t="n">
        <f aca="false">D11*Assumptions!$B$6/12</f>
        <v>2454144.9604022</v>
      </c>
      <c r="H11" s="29" t="n">
        <f aca="false">C11*(1-Assumptions!$B$13)</f>
        <v>1312704.10513258</v>
      </c>
      <c r="I11" s="29" t="n">
        <f aca="false">C11*Assumptions!$B$13</f>
        <v>1702926.73597144</v>
      </c>
      <c r="J11" s="29" t="n">
        <f aca="false">B11*Assumptions!$B$9/12</f>
        <v>113364.501240344</v>
      </c>
      <c r="K11" s="29" t="n">
        <f aca="false">MAX(G11-J11,0)</f>
        <v>2340780.45916186</v>
      </c>
      <c r="L11" s="29" t="n">
        <f aca="false">AL10</f>
        <v>212954855.418575</v>
      </c>
      <c r="M11" s="29" t="n">
        <f aca="false">AM10</f>
        <v>38134224.2568</v>
      </c>
      <c r="N11" s="29" t="n">
        <f aca="false">AN10</f>
        <v>15889260.107</v>
      </c>
      <c r="O11" s="29" t="n">
        <f aca="false">AO10</f>
        <v>5096463.1944516</v>
      </c>
      <c r="P11" s="29" t="n">
        <f aca="false">L11*Assumptions!$C$27/12</f>
        <v>1242236.65660835</v>
      </c>
      <c r="Q11" s="29" t="n">
        <f aca="false">M11*Assumptions!$C$28/12</f>
        <v>270117.421819</v>
      </c>
      <c r="R11" s="29" t="n">
        <f aca="false">N11*Assumptions!$C$29/12</f>
        <v>152272.076025417</v>
      </c>
      <c r="S11" s="29" t="n">
        <f aca="false">MIN(P11,K11)</f>
        <v>1242236.65660835</v>
      </c>
      <c r="T11" s="29" t="n">
        <f aca="false">MIN(Q11,K11-S11)</f>
        <v>270117.421819</v>
      </c>
      <c r="U11" s="29" t="n">
        <f aca="false">MIN(R11,K11-S11-T11)</f>
        <v>152272.076025417</v>
      </c>
      <c r="V11" s="29" t="n">
        <f aca="false">K11-S11-T11-U11</f>
        <v>676154.304709091</v>
      </c>
      <c r="W11" s="29" t="n">
        <f aca="false">MIN(V11,I11)</f>
        <v>676154.304709091</v>
      </c>
      <c r="X11" s="29" t="n">
        <f aca="false">V11-W11</f>
        <v>0</v>
      </c>
      <c r="Y11" s="29" t="n">
        <f aca="false">MIN(O11,I11-W11)</f>
        <v>1026772.43126235</v>
      </c>
      <c r="Z11" s="29" t="n">
        <f aca="false">MIN(N11,I11-W11-Y11)</f>
        <v>0</v>
      </c>
      <c r="AA11" s="29" t="n">
        <f aca="false">MIN(M11,I11-W11-Y11-Z11)</f>
        <v>0</v>
      </c>
      <c r="AB11" s="29" t="n">
        <f aca="false">MIN(L11,I11-W11-Y11-Z11-AA11)</f>
        <v>0</v>
      </c>
      <c r="AC11" s="29" t="n">
        <f aca="false">L11-AB11</f>
        <v>212954855.418575</v>
      </c>
      <c r="AD11" s="29" t="n">
        <f aca="false">N11-Z11</f>
        <v>15889260.107</v>
      </c>
      <c r="AE11" s="29" t="n">
        <f aca="false">M11-AA11</f>
        <v>38134224.2568</v>
      </c>
      <c r="AF11" s="29" t="n">
        <f aca="false">O11-Y11</f>
        <v>4069690.76318925</v>
      </c>
      <c r="AG11" s="29" t="n">
        <f aca="false">F11+E11+H11+W11</f>
        <v>9702868.29606363</v>
      </c>
      <c r="AH11" s="29" t="n">
        <f aca="false">MIN(AC11,AG11)</f>
        <v>9702868.29606363</v>
      </c>
      <c r="AI11" s="29" t="n">
        <f aca="false">MIN(AE11,AG11-AH11)</f>
        <v>0</v>
      </c>
      <c r="AJ11" s="29" t="n">
        <f aca="false">MIN(AD11,AG11-AH11-AI11)</f>
        <v>0</v>
      </c>
      <c r="AK11" s="29" t="n">
        <f aca="false">MIN(AF11,AG11-AH11-AI11-AJ11)</f>
        <v>0</v>
      </c>
      <c r="AL11" s="29" t="n">
        <f aca="false">AC11-AH11</f>
        <v>203251987.122511</v>
      </c>
      <c r="AM11" s="29" t="n">
        <f aca="false">AE11-AI11</f>
        <v>38134224.2568</v>
      </c>
      <c r="AN11" s="29" t="n">
        <f aca="false">AD11-AJ11</f>
        <v>15889260.107</v>
      </c>
      <c r="AO11" s="29" t="n">
        <f aca="false">AF11-AK11</f>
        <v>4069690.76318925</v>
      </c>
      <c r="AP11" s="29" t="n">
        <f aca="false">D11-E11-F11</f>
        <v>261345162.2495</v>
      </c>
      <c r="AQ11" s="29" t="n">
        <f aca="false">SUM(AL11:AO11)-AP11</f>
        <v>0</v>
      </c>
      <c r="AR11" s="29" t="n">
        <f aca="false">SUMIFS(Python_Results!$C$2:$C$217,Python_Results!$A$2:$A$217,Assumptions!$B$10,Python_Results!$B$2:$B$217,A11)</f>
        <v>261345162.25</v>
      </c>
      <c r="AS11" s="29" t="n">
        <f aca="false">SUMIFS(Python_Results!$D$2:$D$217,Python_Results!$A$2:$A$217,Assumptions!$B$10,Python_Results!$B$2:$B$217,A11)</f>
        <v>203251987.12</v>
      </c>
      <c r="AT11" s="29" t="n">
        <f aca="false">SUMIFS(Python_Results!$E$2:$E$217,Python_Results!$A$2:$A$217,Assumptions!$B$10,Python_Results!$B$2:$B$217,A11)</f>
        <v>38134224.26</v>
      </c>
      <c r="AU11" s="29" t="n">
        <f aca="false">SUMIFS(Python_Results!$F$2:$F$217,Python_Results!$A$2:$A$217,Assumptions!$B$10,Python_Results!$B$2:$B$217,A11)</f>
        <v>15889260.11</v>
      </c>
      <c r="AV11" s="29" t="n">
        <f aca="false">SUMIFS(Python_Results!$G$2:$G$217,Python_Results!$A$2:$A$217,Assumptions!$B$10,Python_Results!$B$2:$B$217,A11)</f>
        <v>4069690.76</v>
      </c>
      <c r="AW11" s="29" t="n">
        <f aca="false">AP11-AR11</f>
        <v>-0.000499725341796875</v>
      </c>
      <c r="AX11" s="29" t="n">
        <f aca="false">AL11-AS11</f>
        <v>0.00251102447509766</v>
      </c>
      <c r="AY11" s="29" t="n">
        <f aca="false">AM11-AT11</f>
        <v>-0.00320000201463699</v>
      </c>
      <c r="AZ11" s="29" t="n">
        <f aca="false">AN11-AU11</f>
        <v>-0.00299999862909317</v>
      </c>
      <c r="BA11" s="29" t="n">
        <f aca="false">AO11-AV11</f>
        <v>0.00318924803286791</v>
      </c>
    </row>
    <row r="12" customFormat="false" ht="15" hidden="false" customHeight="false" outlineLevel="0" collapsed="false">
      <c r="A12" s="28" t="n">
        <v>6</v>
      </c>
      <c r="B12" s="29" t="n">
        <f aca="false">AP11</f>
        <v>261345162.2495</v>
      </c>
      <c r="C12" s="29" t="n">
        <f aca="false">B12*Assumptions!$B$14</f>
        <v>2896705.32820364</v>
      </c>
      <c r="D12" s="29" t="n">
        <f aca="false">B12-C12</f>
        <v>258448456.921297</v>
      </c>
      <c r="E12" s="29" t="n">
        <f aca="false">D12*Assumptions!$B$15</f>
        <v>1156153.48687147</v>
      </c>
      <c r="F12" s="29" t="n">
        <f aca="false">(D12-E12)/MAX(Assumptions!$B$7-A12+1,1)</f>
        <v>6409428.92228288</v>
      </c>
      <c r="G12" s="29" t="n">
        <f aca="false">D12*Assumptions!$B$6/12</f>
        <v>2357362.40858267</v>
      </c>
      <c r="H12" s="29" t="n">
        <f aca="false">C12*(1-Assumptions!$B$13)</f>
        <v>1260935.82936705</v>
      </c>
      <c r="I12" s="29" t="n">
        <f aca="false">C12*Assumptions!$B$13</f>
        <v>1635769.4988366</v>
      </c>
      <c r="J12" s="29" t="n">
        <f aca="false">B12*Assumptions!$B$9/12</f>
        <v>108893.817603958</v>
      </c>
      <c r="K12" s="29" t="n">
        <f aca="false">MAX(G12-J12,0)</f>
        <v>2248468.59097871</v>
      </c>
      <c r="L12" s="29" t="n">
        <f aca="false">AL11</f>
        <v>203251987.122511</v>
      </c>
      <c r="M12" s="29" t="n">
        <f aca="false">AM11</f>
        <v>38134224.2568</v>
      </c>
      <c r="N12" s="29" t="n">
        <f aca="false">AN11</f>
        <v>15889260.107</v>
      </c>
      <c r="O12" s="29" t="n">
        <f aca="false">AO11</f>
        <v>4069690.76318925</v>
      </c>
      <c r="P12" s="29" t="n">
        <f aca="false">L12*Assumptions!$C$27/12</f>
        <v>1185636.59154798</v>
      </c>
      <c r="Q12" s="29" t="n">
        <f aca="false">M12*Assumptions!$C$28/12</f>
        <v>270117.421819</v>
      </c>
      <c r="R12" s="29" t="n">
        <f aca="false">N12*Assumptions!$C$29/12</f>
        <v>152272.076025417</v>
      </c>
      <c r="S12" s="29" t="n">
        <f aca="false">MIN(P12,K12)</f>
        <v>1185636.59154798</v>
      </c>
      <c r="T12" s="29" t="n">
        <f aca="false">MIN(Q12,K12-S12)</f>
        <v>270117.421819</v>
      </c>
      <c r="U12" s="29" t="n">
        <f aca="false">MIN(R12,K12-S12-T12)</f>
        <v>152272.076025417</v>
      </c>
      <c r="V12" s="29" t="n">
        <f aca="false">K12-S12-T12-U12</f>
        <v>640442.501586317</v>
      </c>
      <c r="W12" s="29" t="n">
        <f aca="false">MIN(V12,I12)</f>
        <v>640442.501586317</v>
      </c>
      <c r="X12" s="29" t="n">
        <f aca="false">V12-W12</f>
        <v>0</v>
      </c>
      <c r="Y12" s="29" t="n">
        <f aca="false">MIN(O12,I12-W12)</f>
        <v>995326.99725028</v>
      </c>
      <c r="Z12" s="29" t="n">
        <f aca="false">MIN(N12,I12-W12-Y12)</f>
        <v>0</v>
      </c>
      <c r="AA12" s="29" t="n">
        <f aca="false">MIN(M12,I12-W12-Y12-Z12)</f>
        <v>0</v>
      </c>
      <c r="AB12" s="29" t="n">
        <f aca="false">MIN(L12,I12-W12-Y12-Z12-AA12)</f>
        <v>0</v>
      </c>
      <c r="AC12" s="29" t="n">
        <f aca="false">L12-AB12</f>
        <v>203251987.122511</v>
      </c>
      <c r="AD12" s="29" t="n">
        <f aca="false">N12-Z12</f>
        <v>15889260.107</v>
      </c>
      <c r="AE12" s="29" t="n">
        <f aca="false">M12-AA12</f>
        <v>38134224.2568</v>
      </c>
      <c r="AF12" s="29" t="n">
        <f aca="false">O12-Y12</f>
        <v>3074363.76593897</v>
      </c>
      <c r="AG12" s="29" t="n">
        <f aca="false">F12+E12+H12+W12</f>
        <v>9466960.74010771</v>
      </c>
      <c r="AH12" s="29" t="n">
        <f aca="false">MIN(AC12,AG12)</f>
        <v>9466960.74010771</v>
      </c>
      <c r="AI12" s="29" t="n">
        <f aca="false">MIN(AE12,AG12-AH12)</f>
        <v>0</v>
      </c>
      <c r="AJ12" s="29" t="n">
        <f aca="false">MIN(AD12,AG12-AH12-AI12)</f>
        <v>0</v>
      </c>
      <c r="AK12" s="29" t="n">
        <f aca="false">MIN(AF12,AG12-AH12-AI12-AJ12)</f>
        <v>0</v>
      </c>
      <c r="AL12" s="29" t="n">
        <f aca="false">AC12-AH12</f>
        <v>193785026.382403</v>
      </c>
      <c r="AM12" s="29" t="n">
        <f aca="false">AE12-AI12</f>
        <v>38134224.2568</v>
      </c>
      <c r="AN12" s="29" t="n">
        <f aca="false">AD12-AJ12</f>
        <v>15889260.107</v>
      </c>
      <c r="AO12" s="29" t="n">
        <f aca="false">AF12-AK12</f>
        <v>3074363.76593897</v>
      </c>
      <c r="AP12" s="29" t="n">
        <f aca="false">D12-E12-F12</f>
        <v>250882874.512142</v>
      </c>
      <c r="AQ12" s="29" t="n">
        <f aca="false">SUM(AL12:AO12)-AP12</f>
        <v>0</v>
      </c>
      <c r="AR12" s="29" t="n">
        <f aca="false">SUMIFS(Python_Results!$C$2:$C$217,Python_Results!$A$2:$A$217,Assumptions!$B$10,Python_Results!$B$2:$B$217,A12)</f>
        <v>250882874.51</v>
      </c>
      <c r="AS12" s="29" t="n">
        <f aca="false">SUMIFS(Python_Results!$D$2:$D$217,Python_Results!$A$2:$A$217,Assumptions!$B$10,Python_Results!$B$2:$B$217,A12)</f>
        <v>193785026.38</v>
      </c>
      <c r="AT12" s="29" t="n">
        <f aca="false">SUMIFS(Python_Results!$E$2:$E$217,Python_Results!$A$2:$A$217,Assumptions!$B$10,Python_Results!$B$2:$B$217,A12)</f>
        <v>38134224.26</v>
      </c>
      <c r="AU12" s="29" t="n">
        <f aca="false">SUMIFS(Python_Results!$F$2:$F$217,Python_Results!$A$2:$A$217,Assumptions!$B$10,Python_Results!$B$2:$B$217,A12)</f>
        <v>15889260.11</v>
      </c>
      <c r="AV12" s="29" t="n">
        <f aca="false">SUMIFS(Python_Results!$G$2:$G$217,Python_Results!$A$2:$A$217,Assumptions!$B$10,Python_Results!$B$2:$B$217,A12)</f>
        <v>3074363.77</v>
      </c>
      <c r="AW12" s="29" t="n">
        <f aca="false">AP12-AR12</f>
        <v>0.0021422803401947</v>
      </c>
      <c r="AX12" s="29" t="n">
        <f aca="false">AL12-AS12</f>
        <v>0.00240331888198853</v>
      </c>
      <c r="AY12" s="29" t="n">
        <f aca="false">AM12-AT12</f>
        <v>-0.00320000201463699</v>
      </c>
      <c r="AZ12" s="29" t="n">
        <f aca="false">AN12-AU12</f>
        <v>-0.00299999862909317</v>
      </c>
      <c r="BA12" s="29" t="n">
        <f aca="false">AO12-AV12</f>
        <v>-0.00406103208661079</v>
      </c>
    </row>
    <row r="13" customFormat="false" ht="15" hidden="false" customHeight="false" outlineLevel="0" collapsed="false">
      <c r="A13" s="28" t="n">
        <v>7</v>
      </c>
      <c r="B13" s="29" t="n">
        <f aca="false">AP12</f>
        <v>250882874.512142</v>
      </c>
      <c r="C13" s="29" t="n">
        <f aca="false">B13*Assumptions!$B$14</f>
        <v>2780743.11037207</v>
      </c>
      <c r="D13" s="29" t="n">
        <f aca="false">B13-C13</f>
        <v>248102131.40177</v>
      </c>
      <c r="E13" s="29" t="n">
        <f aca="false">D13*Assumptions!$B$15</f>
        <v>1109869.82757553</v>
      </c>
      <c r="F13" s="29" t="n">
        <f aca="false">(D13-E13)/MAX(Assumptions!$B$7-A13+1,1)</f>
        <v>6310033.50863266</v>
      </c>
      <c r="G13" s="29" t="n">
        <f aca="false">D13*Assumptions!$B$6/12</f>
        <v>2262991.41044544</v>
      </c>
      <c r="H13" s="29" t="n">
        <f aca="false">C13*(1-Assumptions!$B$13)</f>
        <v>1210457.47594496</v>
      </c>
      <c r="I13" s="29" t="n">
        <f aca="false">C13*Assumptions!$B$13</f>
        <v>1570285.63442711</v>
      </c>
      <c r="J13" s="29" t="n">
        <f aca="false">B13*Assumptions!$B$9/12</f>
        <v>104534.531046726</v>
      </c>
      <c r="K13" s="29" t="n">
        <f aca="false">MAX(G13-J13,0)</f>
        <v>2158456.87939871</v>
      </c>
      <c r="L13" s="29" t="n">
        <f aca="false">AL12</f>
        <v>193785026.382403</v>
      </c>
      <c r="M13" s="29" t="n">
        <f aca="false">AM12</f>
        <v>38134224.2568</v>
      </c>
      <c r="N13" s="29" t="n">
        <f aca="false">AN12</f>
        <v>15889260.107</v>
      </c>
      <c r="O13" s="29" t="n">
        <f aca="false">AO12</f>
        <v>3074363.76593897</v>
      </c>
      <c r="P13" s="29" t="n">
        <f aca="false">L13*Assumptions!$C$27/12</f>
        <v>1130412.65389735</v>
      </c>
      <c r="Q13" s="29" t="n">
        <f aca="false">M13*Assumptions!$C$28/12</f>
        <v>270117.421819</v>
      </c>
      <c r="R13" s="29" t="n">
        <f aca="false">N13*Assumptions!$C$29/12</f>
        <v>152272.076025417</v>
      </c>
      <c r="S13" s="29" t="n">
        <f aca="false">MIN(P13,K13)</f>
        <v>1130412.65389735</v>
      </c>
      <c r="T13" s="29" t="n">
        <f aca="false">MIN(Q13,K13-S13)</f>
        <v>270117.421819</v>
      </c>
      <c r="U13" s="29" t="n">
        <f aca="false">MIN(R13,K13-S13-T13)</f>
        <v>152272.076025417</v>
      </c>
      <c r="V13" s="29" t="n">
        <f aca="false">K13-S13-T13-U13</f>
        <v>605654.727656942</v>
      </c>
      <c r="W13" s="29" t="n">
        <f aca="false">MIN(V13,I13)</f>
        <v>605654.727656942</v>
      </c>
      <c r="X13" s="29" t="n">
        <f aca="false">V13-W13</f>
        <v>0</v>
      </c>
      <c r="Y13" s="29" t="n">
        <f aca="false">MIN(O13,I13-W13)</f>
        <v>964630.906770165</v>
      </c>
      <c r="Z13" s="29" t="n">
        <f aca="false">MIN(N13,I13-W13-Y13)</f>
        <v>0</v>
      </c>
      <c r="AA13" s="29" t="n">
        <f aca="false">MIN(M13,I13-W13-Y13-Z13)</f>
        <v>0</v>
      </c>
      <c r="AB13" s="29" t="n">
        <f aca="false">MIN(L13,I13-W13-Y13-Z13-AA13)</f>
        <v>0</v>
      </c>
      <c r="AC13" s="29" t="n">
        <f aca="false">L13-AB13</f>
        <v>193785026.382403</v>
      </c>
      <c r="AD13" s="29" t="n">
        <f aca="false">N13-Z13</f>
        <v>15889260.107</v>
      </c>
      <c r="AE13" s="29" t="n">
        <f aca="false">M13-AA13</f>
        <v>38134224.2568</v>
      </c>
      <c r="AF13" s="29" t="n">
        <f aca="false">O13-Y13</f>
        <v>2109732.8591688</v>
      </c>
      <c r="AG13" s="29" t="n">
        <f aca="false">F13+E13+H13+W13</f>
        <v>9236015.53981009</v>
      </c>
      <c r="AH13" s="29" t="n">
        <f aca="false">MIN(AC13,AG13)</f>
        <v>9236015.53981009</v>
      </c>
      <c r="AI13" s="29" t="n">
        <f aca="false">MIN(AE13,AG13-AH13)</f>
        <v>0</v>
      </c>
      <c r="AJ13" s="29" t="n">
        <f aca="false">MIN(AD13,AG13-AH13-AI13)</f>
        <v>0</v>
      </c>
      <c r="AK13" s="29" t="n">
        <f aca="false">MIN(AF13,AG13-AH13-AI13-AJ13)</f>
        <v>0</v>
      </c>
      <c r="AL13" s="29" t="n">
        <f aca="false">AC13-AH13</f>
        <v>184549010.842593</v>
      </c>
      <c r="AM13" s="29" t="n">
        <f aca="false">AE13-AI13</f>
        <v>38134224.2568</v>
      </c>
      <c r="AN13" s="29" t="n">
        <f aca="false">AD13-AJ13</f>
        <v>15889260.107</v>
      </c>
      <c r="AO13" s="29" t="n">
        <f aca="false">AF13-AK13</f>
        <v>2109732.8591688</v>
      </c>
      <c r="AP13" s="29" t="n">
        <f aca="false">D13-E13-F13</f>
        <v>240682228.065562</v>
      </c>
      <c r="AQ13" s="29" t="n">
        <f aca="false">SUM(AL13:AO13)-AP13</f>
        <v>0</v>
      </c>
      <c r="AR13" s="29" t="n">
        <f aca="false">SUMIFS(Python_Results!$C$2:$C$217,Python_Results!$A$2:$A$217,Assumptions!$B$10,Python_Results!$B$2:$B$217,A13)</f>
        <v>240682228.07</v>
      </c>
      <c r="AS13" s="29" t="n">
        <f aca="false">SUMIFS(Python_Results!$D$2:$D$217,Python_Results!$A$2:$A$217,Assumptions!$B$10,Python_Results!$B$2:$B$217,A13)</f>
        <v>184549010.84</v>
      </c>
      <c r="AT13" s="29" t="n">
        <f aca="false">SUMIFS(Python_Results!$E$2:$E$217,Python_Results!$A$2:$A$217,Assumptions!$B$10,Python_Results!$B$2:$B$217,A13)</f>
        <v>38134224.26</v>
      </c>
      <c r="AU13" s="29" t="n">
        <f aca="false">SUMIFS(Python_Results!$F$2:$F$217,Python_Results!$A$2:$A$217,Assumptions!$B$10,Python_Results!$B$2:$B$217,A13)</f>
        <v>15889260.11</v>
      </c>
      <c r="AV13" s="29" t="n">
        <f aca="false">SUMIFS(Python_Results!$G$2:$G$217,Python_Results!$A$2:$A$217,Assumptions!$B$10,Python_Results!$B$2:$B$217,A13)</f>
        <v>2109732.86</v>
      </c>
      <c r="AW13" s="29" t="n">
        <f aca="false">AP13-AR13</f>
        <v>-0.00443798303604126</v>
      </c>
      <c r="AX13" s="29" t="n">
        <f aca="false">AL13-AS13</f>
        <v>0.00259321928024292</v>
      </c>
      <c r="AY13" s="29" t="n">
        <f aca="false">AM13-AT13</f>
        <v>-0.00320000201463699</v>
      </c>
      <c r="AZ13" s="29" t="n">
        <f aca="false">AN13-AU13</f>
        <v>-0.00299999862909317</v>
      </c>
      <c r="BA13" s="29" t="n">
        <f aca="false">AO13-AV13</f>
        <v>-0.000831197015941143</v>
      </c>
    </row>
    <row r="14" customFormat="false" ht="15" hidden="false" customHeight="false" outlineLevel="0" collapsed="false">
      <c r="A14" s="28" t="n">
        <v>8</v>
      </c>
      <c r="B14" s="29" t="n">
        <f aca="false">AP13</f>
        <v>240682228.065562</v>
      </c>
      <c r="C14" s="29" t="n">
        <f aca="false">B14*Assumptions!$B$14</f>
        <v>2667680.88010694</v>
      </c>
      <c r="D14" s="29" t="n">
        <f aca="false">B14-C14</f>
        <v>238014547.185455</v>
      </c>
      <c r="E14" s="29" t="n">
        <f aca="false">D14*Assumptions!$B$15</f>
        <v>1064743.63179656</v>
      </c>
      <c r="F14" s="29" t="n">
        <f aca="false">(D14-E14)/MAX(Assumptions!$B$7-A14+1,1)</f>
        <v>6212179.4878857</v>
      </c>
      <c r="G14" s="29" t="n">
        <f aca="false">D14*Assumptions!$B$6/12</f>
        <v>2170980.44582902</v>
      </c>
      <c r="H14" s="29" t="n">
        <f aca="false">C14*(1-Assumptions!$B$13)</f>
        <v>1161241.48711055</v>
      </c>
      <c r="I14" s="29" t="n">
        <f aca="false">C14*Assumptions!$B$13</f>
        <v>1506439.39299639</v>
      </c>
      <c r="J14" s="29" t="n">
        <f aca="false">B14*Assumptions!$B$9/12</f>
        <v>100284.261693984</v>
      </c>
      <c r="K14" s="29" t="n">
        <f aca="false">MAX(G14-J14,0)</f>
        <v>2070696.18413504</v>
      </c>
      <c r="L14" s="29" t="n">
        <f aca="false">AL13</f>
        <v>184549010.842593</v>
      </c>
      <c r="M14" s="29" t="n">
        <f aca="false">AM13</f>
        <v>38134224.2568</v>
      </c>
      <c r="N14" s="29" t="n">
        <f aca="false">AN13</f>
        <v>15889260.107</v>
      </c>
      <c r="O14" s="29" t="n">
        <f aca="false">AO13</f>
        <v>2109732.8591688</v>
      </c>
      <c r="P14" s="29" t="n">
        <f aca="false">L14*Assumptions!$C$27/12</f>
        <v>1076535.89658179</v>
      </c>
      <c r="Q14" s="29" t="n">
        <f aca="false">M14*Assumptions!$C$28/12</f>
        <v>270117.421819</v>
      </c>
      <c r="R14" s="29" t="n">
        <f aca="false">N14*Assumptions!$C$29/12</f>
        <v>152272.076025417</v>
      </c>
      <c r="S14" s="29" t="n">
        <f aca="false">MIN(P14,K14)</f>
        <v>1076535.89658179</v>
      </c>
      <c r="T14" s="29" t="n">
        <f aca="false">MIN(Q14,K14-S14)</f>
        <v>270117.421819</v>
      </c>
      <c r="U14" s="29" t="n">
        <f aca="false">MIN(R14,K14-S14-T14)</f>
        <v>152272.076025417</v>
      </c>
      <c r="V14" s="29" t="n">
        <f aca="false">K14-S14-T14-U14</f>
        <v>571770.789708825</v>
      </c>
      <c r="W14" s="29" t="n">
        <f aca="false">MIN(V14,I14)</f>
        <v>571770.789708825</v>
      </c>
      <c r="X14" s="29" t="n">
        <f aca="false">V14-W14</f>
        <v>0</v>
      </c>
      <c r="Y14" s="29" t="n">
        <f aca="false">MIN(O14,I14-W14)</f>
        <v>934668.603287564</v>
      </c>
      <c r="Z14" s="29" t="n">
        <f aca="false">MIN(N14,I14-W14-Y14)</f>
        <v>0</v>
      </c>
      <c r="AA14" s="29" t="n">
        <f aca="false">MIN(M14,I14-W14-Y14-Z14)</f>
        <v>0</v>
      </c>
      <c r="AB14" s="29" t="n">
        <f aca="false">MIN(L14,I14-W14-Y14-Z14-AA14)</f>
        <v>0</v>
      </c>
      <c r="AC14" s="29" t="n">
        <f aca="false">L14-AB14</f>
        <v>184549010.842593</v>
      </c>
      <c r="AD14" s="29" t="n">
        <f aca="false">N14-Z14</f>
        <v>15889260.107</v>
      </c>
      <c r="AE14" s="29" t="n">
        <f aca="false">M14-AA14</f>
        <v>38134224.2568</v>
      </c>
      <c r="AF14" s="29" t="n">
        <f aca="false">O14-Y14</f>
        <v>1175064.25588124</v>
      </c>
      <c r="AG14" s="29" t="n">
        <f aca="false">F14+E14+H14+W14</f>
        <v>9009935.39650163</v>
      </c>
      <c r="AH14" s="29" t="n">
        <f aca="false">MIN(AC14,AG14)</f>
        <v>9009935.39650163</v>
      </c>
      <c r="AI14" s="29" t="n">
        <f aca="false">MIN(AE14,AG14-AH14)</f>
        <v>0</v>
      </c>
      <c r="AJ14" s="29" t="n">
        <f aca="false">MIN(AD14,AG14-AH14-AI14)</f>
        <v>0</v>
      </c>
      <c r="AK14" s="29" t="n">
        <f aca="false">MIN(AF14,AG14-AH14-AI14-AJ14)</f>
        <v>0</v>
      </c>
      <c r="AL14" s="29" t="n">
        <f aca="false">AC14-AH14</f>
        <v>175539075.446092</v>
      </c>
      <c r="AM14" s="29" t="n">
        <f aca="false">AE14-AI14</f>
        <v>38134224.2568</v>
      </c>
      <c r="AN14" s="29" t="n">
        <f aca="false">AD14-AJ14</f>
        <v>15889260.107</v>
      </c>
      <c r="AO14" s="29" t="n">
        <f aca="false">AF14-AK14</f>
        <v>1175064.25588124</v>
      </c>
      <c r="AP14" s="29" t="n">
        <f aca="false">D14-E14-F14</f>
        <v>230737624.065773</v>
      </c>
      <c r="AQ14" s="29" t="n">
        <f aca="false">SUM(AL14:AO14)-AP14</f>
        <v>0</v>
      </c>
      <c r="AR14" s="29" t="n">
        <f aca="false">SUMIFS(Python_Results!$C$2:$C$217,Python_Results!$A$2:$A$217,Assumptions!$B$10,Python_Results!$B$2:$B$217,A14)</f>
        <v>230737624.07</v>
      </c>
      <c r="AS14" s="29" t="n">
        <f aca="false">SUMIFS(Python_Results!$D$2:$D$217,Python_Results!$A$2:$A$217,Assumptions!$B$10,Python_Results!$B$2:$B$217,A14)</f>
        <v>175539075.45</v>
      </c>
      <c r="AT14" s="29" t="n">
        <f aca="false">SUMIFS(Python_Results!$E$2:$E$217,Python_Results!$A$2:$A$217,Assumptions!$B$10,Python_Results!$B$2:$B$217,A14)</f>
        <v>38134224.26</v>
      </c>
      <c r="AU14" s="29" t="n">
        <f aca="false">SUMIFS(Python_Results!$F$2:$F$217,Python_Results!$A$2:$A$217,Assumptions!$B$10,Python_Results!$B$2:$B$217,A14)</f>
        <v>15889260.11</v>
      </c>
      <c r="AV14" s="29" t="n">
        <f aca="false">SUMIFS(Python_Results!$G$2:$G$217,Python_Results!$A$2:$A$217,Assumptions!$B$10,Python_Results!$B$2:$B$217,A14)</f>
        <v>1175064.26</v>
      </c>
      <c r="AW14" s="29" t="n">
        <f aca="false">AP14-AR14</f>
        <v>-0.0042271614074707</v>
      </c>
      <c r="AX14" s="29" t="n">
        <f aca="false">AL14-AS14</f>
        <v>-0.00390839576721191</v>
      </c>
      <c r="AY14" s="29" t="n">
        <f aca="false">AM14-AT14</f>
        <v>-0.00320000201463699</v>
      </c>
      <c r="AZ14" s="29" t="n">
        <f aca="false">AN14-AU14</f>
        <v>-0.00299999862909317</v>
      </c>
      <c r="BA14" s="29" t="n">
        <f aca="false">AO14-AV14</f>
        <v>-0.00411876128055155</v>
      </c>
    </row>
    <row r="15" customFormat="false" ht="15" hidden="false" customHeight="false" outlineLevel="0" collapsed="false">
      <c r="A15" s="28" t="n">
        <v>9</v>
      </c>
      <c r="B15" s="29" t="n">
        <f aca="false">AP14</f>
        <v>230737624.065773</v>
      </c>
      <c r="C15" s="29" t="n">
        <f aca="false">B15*Assumptions!$B$14</f>
        <v>2557456.58077377</v>
      </c>
      <c r="D15" s="29" t="n">
        <f aca="false">B15-C15</f>
        <v>228180167.484999</v>
      </c>
      <c r="E15" s="29" t="n">
        <f aca="false">D15*Assumptions!$B$15</f>
        <v>1020750.13105238</v>
      </c>
      <c r="F15" s="29" t="n">
        <f aca="false">(D15-E15)/MAX(Assumptions!$B$7-A15+1,1)</f>
        <v>6115842.95660424</v>
      </c>
      <c r="G15" s="29" t="n">
        <f aca="false">D15*Assumptions!$B$6/12</f>
        <v>2081279.01253842</v>
      </c>
      <c r="H15" s="29" t="n">
        <f aca="false">C15*(1-Assumptions!$B$13)</f>
        <v>1113260.84961082</v>
      </c>
      <c r="I15" s="29" t="n">
        <f aca="false">C15*Assumptions!$B$13</f>
        <v>1444195.73116295</v>
      </c>
      <c r="J15" s="29" t="n">
        <f aca="false">B15*Assumptions!$B$9/12</f>
        <v>96140.676694072</v>
      </c>
      <c r="K15" s="29" t="n">
        <f aca="false">MAX(G15-J15,0)</f>
        <v>1985138.33584435</v>
      </c>
      <c r="L15" s="29" t="n">
        <f aca="false">AL14</f>
        <v>175539075.446092</v>
      </c>
      <c r="M15" s="29" t="n">
        <f aca="false">AM14</f>
        <v>38134224.2568</v>
      </c>
      <c r="N15" s="29" t="n">
        <f aca="false">AN14</f>
        <v>15889260.107</v>
      </c>
      <c r="O15" s="29" t="n">
        <f aca="false">AO14</f>
        <v>1175064.25588124</v>
      </c>
      <c r="P15" s="29" t="n">
        <f aca="false">L15*Assumptions!$C$27/12</f>
        <v>1023977.9401022</v>
      </c>
      <c r="Q15" s="29" t="n">
        <f aca="false">M15*Assumptions!$C$28/12</f>
        <v>270117.421819</v>
      </c>
      <c r="R15" s="29" t="n">
        <f aca="false">N15*Assumptions!$C$29/12</f>
        <v>152272.076025417</v>
      </c>
      <c r="S15" s="29" t="n">
        <f aca="false">MIN(P15,K15)</f>
        <v>1023977.9401022</v>
      </c>
      <c r="T15" s="29" t="n">
        <f aca="false">MIN(Q15,K15-S15)</f>
        <v>270117.421819</v>
      </c>
      <c r="U15" s="29" t="n">
        <f aca="false">MIN(R15,K15-S15-T15)</f>
        <v>152272.076025417</v>
      </c>
      <c r="V15" s="29" t="n">
        <f aca="false">K15-S15-T15-U15</f>
        <v>538770.897897732</v>
      </c>
      <c r="W15" s="29" t="n">
        <f aca="false">MIN(V15,I15)</f>
        <v>538770.897897732</v>
      </c>
      <c r="X15" s="29" t="n">
        <f aca="false">V15-W15</f>
        <v>0</v>
      </c>
      <c r="Y15" s="29" t="n">
        <f aca="false">MIN(O15,I15-W15)</f>
        <v>905424.833265216</v>
      </c>
      <c r="Z15" s="29" t="n">
        <f aca="false">MIN(N15,I15-W15-Y15)</f>
        <v>0</v>
      </c>
      <c r="AA15" s="29" t="n">
        <f aca="false">MIN(M15,I15-W15-Y15-Z15)</f>
        <v>0</v>
      </c>
      <c r="AB15" s="29" t="n">
        <f aca="false">MIN(L15,I15-W15-Y15-Z15-AA15)</f>
        <v>0</v>
      </c>
      <c r="AC15" s="29" t="n">
        <f aca="false">L15-AB15</f>
        <v>175539075.446092</v>
      </c>
      <c r="AD15" s="29" t="n">
        <f aca="false">N15-Z15</f>
        <v>15889260.107</v>
      </c>
      <c r="AE15" s="29" t="n">
        <f aca="false">M15-AA15</f>
        <v>38134224.2568</v>
      </c>
      <c r="AF15" s="29" t="n">
        <f aca="false">O15-Y15</f>
        <v>269639.422616023</v>
      </c>
      <c r="AG15" s="29" t="n">
        <f aca="false">F15+E15+H15+W15</f>
        <v>8788624.83516517</v>
      </c>
      <c r="AH15" s="29" t="n">
        <f aca="false">MIN(AC15,AG15)</f>
        <v>8788624.83516517</v>
      </c>
      <c r="AI15" s="29" t="n">
        <f aca="false">MIN(AE15,AG15-AH15)</f>
        <v>0</v>
      </c>
      <c r="AJ15" s="29" t="n">
        <f aca="false">MIN(AD15,AG15-AH15-AI15)</f>
        <v>0</v>
      </c>
      <c r="AK15" s="29" t="n">
        <f aca="false">MIN(AF15,AG15-AH15-AI15-AJ15)</f>
        <v>0</v>
      </c>
      <c r="AL15" s="29" t="n">
        <f aca="false">AC15-AH15</f>
        <v>166750450.610926</v>
      </c>
      <c r="AM15" s="29" t="n">
        <f aca="false">AE15-AI15</f>
        <v>38134224.2568</v>
      </c>
      <c r="AN15" s="29" t="n">
        <f aca="false">AD15-AJ15</f>
        <v>15889260.107</v>
      </c>
      <c r="AO15" s="29" t="n">
        <f aca="false">AF15-AK15</f>
        <v>269639.422616023</v>
      </c>
      <c r="AP15" s="29" t="n">
        <f aca="false">D15-E15-F15</f>
        <v>221043574.397342</v>
      </c>
      <c r="AQ15" s="29" t="n">
        <f aca="false">SUM(AL15:AO15)-AP15</f>
        <v>0</v>
      </c>
      <c r="AR15" s="29" t="n">
        <f aca="false">SUMIFS(Python_Results!$C$2:$C$217,Python_Results!$A$2:$A$217,Assumptions!$B$10,Python_Results!$B$2:$B$217,A15)</f>
        <v>221043574.4</v>
      </c>
      <c r="AS15" s="29" t="n">
        <f aca="false">SUMIFS(Python_Results!$D$2:$D$217,Python_Results!$A$2:$A$217,Assumptions!$B$10,Python_Results!$B$2:$B$217,A15)</f>
        <v>166750450.61</v>
      </c>
      <c r="AT15" s="29" t="n">
        <f aca="false">SUMIFS(Python_Results!$E$2:$E$217,Python_Results!$A$2:$A$217,Assumptions!$B$10,Python_Results!$B$2:$B$217,A15)</f>
        <v>38134224.26</v>
      </c>
      <c r="AU15" s="29" t="n">
        <f aca="false">SUMIFS(Python_Results!$F$2:$F$217,Python_Results!$A$2:$A$217,Assumptions!$B$10,Python_Results!$B$2:$B$217,A15)</f>
        <v>15889260.11</v>
      </c>
      <c r="AV15" s="29" t="n">
        <f aca="false">SUMIFS(Python_Results!$G$2:$G$217,Python_Results!$A$2:$A$217,Assumptions!$B$10,Python_Results!$B$2:$B$217,A15)</f>
        <v>269639.42</v>
      </c>
      <c r="AW15" s="29" t="n">
        <f aca="false">AP15-AR15</f>
        <v>-0.00265756249427795</v>
      </c>
      <c r="AX15" s="29" t="n">
        <f aca="false">AL15-AS15</f>
        <v>0.000926405191421509</v>
      </c>
      <c r="AY15" s="29" t="n">
        <f aca="false">AM15-AT15</f>
        <v>-0.00320000201463699</v>
      </c>
      <c r="AZ15" s="29" t="n">
        <f aca="false">AN15-AU15</f>
        <v>-0.00299999862909317</v>
      </c>
      <c r="BA15" s="29" t="n">
        <f aca="false">AO15-AV15</f>
        <v>0.00261602323735133</v>
      </c>
    </row>
    <row r="16" customFormat="false" ht="15" hidden="false" customHeight="false" outlineLevel="0" collapsed="false">
      <c r="A16" s="28" t="n">
        <v>10</v>
      </c>
      <c r="B16" s="29" t="n">
        <f aca="false">AP15</f>
        <v>221043574.397342</v>
      </c>
      <c r="C16" s="29" t="n">
        <f aca="false">B16*Assumptions!$B$14</f>
        <v>2450009.38303454</v>
      </c>
      <c r="D16" s="29" t="n">
        <f aca="false">B16-C16</f>
        <v>218593565.014308</v>
      </c>
      <c r="E16" s="29" t="n">
        <f aca="false">D16*Assumptions!$B$15</f>
        <v>977865.046708013</v>
      </c>
      <c r="F16" s="29" t="n">
        <f aca="false">(D16-E16)/MAX(Assumptions!$B$7-A16+1,1)</f>
        <v>6021000.38203756</v>
      </c>
      <c r="G16" s="29" t="n">
        <f aca="false">D16*Assumptions!$B$6/12</f>
        <v>1993837.60716251</v>
      </c>
      <c r="H16" s="29" t="n">
        <f aca="false">C16*(1-Assumptions!$B$13)</f>
        <v>1066489.08443494</v>
      </c>
      <c r="I16" s="29" t="n">
        <f aca="false">C16*Assumptions!$B$13</f>
        <v>1383520.29859961</v>
      </c>
      <c r="J16" s="29" t="n">
        <f aca="false">B16*Assumptions!$B$9/12</f>
        <v>92101.489332226</v>
      </c>
      <c r="K16" s="29" t="n">
        <f aca="false">MAX(G16-J16,0)</f>
        <v>1901736.11783029</v>
      </c>
      <c r="L16" s="29" t="n">
        <f aca="false">AL15</f>
        <v>166750450.610926</v>
      </c>
      <c r="M16" s="29" t="n">
        <f aca="false">AM15</f>
        <v>38134224.2568</v>
      </c>
      <c r="N16" s="29" t="n">
        <f aca="false">AN15</f>
        <v>15889260.107</v>
      </c>
      <c r="O16" s="29" t="n">
        <f aca="false">AO15</f>
        <v>269639.422616023</v>
      </c>
      <c r="P16" s="29" t="n">
        <f aca="false">L16*Assumptions!$C$27/12</f>
        <v>972710.961897071</v>
      </c>
      <c r="Q16" s="29" t="n">
        <f aca="false">M16*Assumptions!$C$28/12</f>
        <v>270117.421819</v>
      </c>
      <c r="R16" s="29" t="n">
        <f aca="false">N16*Assumptions!$C$29/12</f>
        <v>152272.076025417</v>
      </c>
      <c r="S16" s="29" t="n">
        <f aca="false">MIN(P16,K16)</f>
        <v>972710.961897071</v>
      </c>
      <c r="T16" s="29" t="n">
        <f aca="false">MIN(Q16,K16-S16)</f>
        <v>270117.421819</v>
      </c>
      <c r="U16" s="29" t="n">
        <f aca="false">MIN(R16,K16-S16-T16)</f>
        <v>152272.076025417</v>
      </c>
      <c r="V16" s="29" t="n">
        <f aca="false">K16-S16-T16-U16</f>
        <v>506635.6580888</v>
      </c>
      <c r="W16" s="29" t="n">
        <f aca="false">MIN(V16,I16)</f>
        <v>506635.6580888</v>
      </c>
      <c r="X16" s="29" t="n">
        <f aca="false">V16-W16</f>
        <v>0</v>
      </c>
      <c r="Y16" s="29" t="n">
        <f aca="false">MIN(O16,I16-W16)</f>
        <v>269639.422616023</v>
      </c>
      <c r="Z16" s="29" t="n">
        <f aca="false">MIN(N16,I16-W16-Y16)</f>
        <v>607245.217894782</v>
      </c>
      <c r="AA16" s="29" t="n">
        <f aca="false">MIN(M16,I16-W16-Y16-Z16)</f>
        <v>0</v>
      </c>
      <c r="AB16" s="29" t="n">
        <f aca="false">MIN(L16,I16-W16-Y16-Z16-AA16)</f>
        <v>0</v>
      </c>
      <c r="AC16" s="29" t="n">
        <f aca="false">L16-AB16</f>
        <v>166750450.610926</v>
      </c>
      <c r="AD16" s="29" t="n">
        <f aca="false">N16-Z16</f>
        <v>15282014.8891052</v>
      </c>
      <c r="AE16" s="29" t="n">
        <f aca="false">M16-AA16</f>
        <v>38134224.2568</v>
      </c>
      <c r="AF16" s="29" t="n">
        <f aca="false">O16-Y16</f>
        <v>0</v>
      </c>
      <c r="AG16" s="29" t="n">
        <f aca="false">F16+E16+H16+W16</f>
        <v>8571990.17126931</v>
      </c>
      <c r="AH16" s="29" t="n">
        <f aca="false">MIN(AC16,AG16)</f>
        <v>8571990.17126931</v>
      </c>
      <c r="AI16" s="29" t="n">
        <f aca="false">MIN(AE16,AG16-AH16)</f>
        <v>0</v>
      </c>
      <c r="AJ16" s="29" t="n">
        <f aca="false">MIN(AD16,AG16-AH16-AI16)</f>
        <v>0</v>
      </c>
      <c r="AK16" s="29" t="n">
        <f aca="false">MIN(AF16,AG16-AH16-AI16-AJ16)</f>
        <v>0</v>
      </c>
      <c r="AL16" s="29" t="n">
        <f aca="false">AC16-AH16</f>
        <v>158178460.439657</v>
      </c>
      <c r="AM16" s="29" t="n">
        <f aca="false">AE16-AI16</f>
        <v>38134224.2568</v>
      </c>
      <c r="AN16" s="29" t="n">
        <f aca="false">AD16-AJ16</f>
        <v>15282014.8891052</v>
      </c>
      <c r="AO16" s="29" t="n">
        <f aca="false">AF16-AK16</f>
        <v>0</v>
      </c>
      <c r="AP16" s="29" t="n">
        <f aca="false">D16-E16-F16</f>
        <v>211594699.585562</v>
      </c>
      <c r="AQ16" s="29" t="n">
        <f aca="false">SUM(AL16:AO16)-AP16</f>
        <v>0</v>
      </c>
      <c r="AR16" s="29" t="n">
        <f aca="false">SUMIFS(Python_Results!$C$2:$C$217,Python_Results!$A$2:$A$217,Assumptions!$B$10,Python_Results!$B$2:$B$217,A16)</f>
        <v>211594699.59</v>
      </c>
      <c r="AS16" s="29" t="n">
        <f aca="false">SUMIFS(Python_Results!$D$2:$D$217,Python_Results!$A$2:$A$217,Assumptions!$B$10,Python_Results!$B$2:$B$217,A16)</f>
        <v>158178460.44</v>
      </c>
      <c r="AT16" s="29" t="n">
        <f aca="false">SUMIFS(Python_Results!$E$2:$E$217,Python_Results!$A$2:$A$217,Assumptions!$B$10,Python_Results!$B$2:$B$217,A16)</f>
        <v>38134224.26</v>
      </c>
      <c r="AU16" s="29" t="n">
        <f aca="false">SUMIFS(Python_Results!$F$2:$F$217,Python_Results!$A$2:$A$217,Assumptions!$B$10,Python_Results!$B$2:$B$217,A16)</f>
        <v>15282014.89</v>
      </c>
      <c r="AV16" s="29" t="n">
        <f aca="false">SUMIFS(Python_Results!$G$2:$G$217,Python_Results!$A$2:$A$217,Assumptions!$B$10,Python_Results!$B$2:$B$217,A16)</f>
        <v>0</v>
      </c>
      <c r="AW16" s="29" t="n">
        <f aca="false">AP16-AR16</f>
        <v>-0.004437655210495</v>
      </c>
      <c r="AX16" s="29" t="n">
        <f aca="false">AL16-AS16</f>
        <v>-0.000342905521392822</v>
      </c>
      <c r="AY16" s="29" t="n">
        <f aca="false">AM16-AT16</f>
        <v>-0.00320000201463699</v>
      </c>
      <c r="AZ16" s="29" t="n">
        <f aca="false">AN16-AU16</f>
        <v>-0.000894781202077866</v>
      </c>
      <c r="BA16" s="29" t="n">
        <f aca="false">AO16-AV16</f>
        <v>0</v>
      </c>
    </row>
    <row r="17" customFormat="false" ht="15" hidden="false" customHeight="false" outlineLevel="0" collapsed="false">
      <c r="A17" s="28" t="n">
        <v>11</v>
      </c>
      <c r="B17" s="29" t="n">
        <f aca="false">AP16</f>
        <v>211594699.585562</v>
      </c>
      <c r="C17" s="29" t="n">
        <f aca="false">B17*Assumptions!$B$14</f>
        <v>2345279.66170653</v>
      </c>
      <c r="D17" s="29" t="n">
        <f aca="false">B17-C17</f>
        <v>209249419.923856</v>
      </c>
      <c r="E17" s="29" t="n">
        <f aca="false">D17*Assumptions!$B$15</f>
        <v>936064.580739477</v>
      </c>
      <c r="F17" s="29" t="n">
        <f aca="false">(D17-E17)/MAX(Assumptions!$B$7-A17+1,1)</f>
        <v>5927628.59637346</v>
      </c>
      <c r="G17" s="29" t="n">
        <f aca="false">D17*Assumptions!$B$6/12</f>
        <v>1908607.70624157</v>
      </c>
      <c r="H17" s="29" t="n">
        <f aca="false">C17*(1-Assumptions!$B$13)</f>
        <v>1020900.23674085</v>
      </c>
      <c r="I17" s="29" t="n">
        <f aca="false">C17*Assumptions!$B$13</f>
        <v>1324379.42496568</v>
      </c>
      <c r="J17" s="29" t="n">
        <f aca="false">B17*Assumptions!$B$9/12</f>
        <v>88164.458160651</v>
      </c>
      <c r="K17" s="29" t="n">
        <f aca="false">MAX(G17-J17,0)</f>
        <v>1820443.24808091</v>
      </c>
      <c r="L17" s="29" t="n">
        <f aca="false">AL16</f>
        <v>158178460.439657</v>
      </c>
      <c r="M17" s="29" t="n">
        <f aca="false">AM16</f>
        <v>38134224.2568</v>
      </c>
      <c r="N17" s="29" t="n">
        <f aca="false">AN16</f>
        <v>15282014.8891052</v>
      </c>
      <c r="O17" s="29" t="n">
        <f aca="false">AO16</f>
        <v>0</v>
      </c>
      <c r="P17" s="29" t="n">
        <f aca="false">L17*Assumptions!$C$27/12</f>
        <v>922707.685898</v>
      </c>
      <c r="Q17" s="29" t="n">
        <f aca="false">M17*Assumptions!$C$28/12</f>
        <v>270117.421819</v>
      </c>
      <c r="R17" s="29" t="n">
        <f aca="false">N17*Assumptions!$C$29/12</f>
        <v>146452.642687258</v>
      </c>
      <c r="S17" s="29" t="n">
        <f aca="false">MIN(P17,K17)</f>
        <v>922707.685898</v>
      </c>
      <c r="T17" s="29" t="n">
        <f aca="false">MIN(Q17,K17-S17)</f>
        <v>270117.421819</v>
      </c>
      <c r="U17" s="29" t="n">
        <f aca="false">MIN(R17,K17-S17-T17)</f>
        <v>146452.642687258</v>
      </c>
      <c r="V17" s="29" t="n">
        <f aca="false">K17-S17-T17-U17</f>
        <v>481165.497676656</v>
      </c>
      <c r="W17" s="29" t="n">
        <f aca="false">MIN(V17,I17)</f>
        <v>481165.497676656</v>
      </c>
      <c r="X17" s="29" t="n">
        <f aca="false">V17-W17</f>
        <v>0</v>
      </c>
      <c r="Y17" s="29" t="n">
        <f aca="false">MIN(O17,I17-W17)</f>
        <v>0</v>
      </c>
      <c r="Z17" s="29" t="n">
        <f aca="false">MIN(N17,I17-W17-Y17)</f>
        <v>843213.927289024</v>
      </c>
      <c r="AA17" s="29" t="n">
        <f aca="false">MIN(M17,I17-W17-Y17-Z17)</f>
        <v>0</v>
      </c>
      <c r="AB17" s="29" t="n">
        <f aca="false">MIN(L17,I17-W17-Y17-Z17-AA17)</f>
        <v>0</v>
      </c>
      <c r="AC17" s="29" t="n">
        <f aca="false">L17-AB17</f>
        <v>158178460.439657</v>
      </c>
      <c r="AD17" s="29" t="n">
        <f aca="false">N17-Z17</f>
        <v>14438800.9618162</v>
      </c>
      <c r="AE17" s="29" t="n">
        <f aca="false">M17-AA17</f>
        <v>38134224.2568</v>
      </c>
      <c r="AF17" s="29" t="n">
        <f aca="false">O17-Y17</f>
        <v>0</v>
      </c>
      <c r="AG17" s="29" t="n">
        <f aca="false">F17+E17+H17+W17</f>
        <v>8365758.91153045</v>
      </c>
      <c r="AH17" s="29" t="n">
        <f aca="false">MIN(AC17,AG17)</f>
        <v>8365758.91153045</v>
      </c>
      <c r="AI17" s="29" t="n">
        <f aca="false">MIN(AE17,AG17-AH17)</f>
        <v>0</v>
      </c>
      <c r="AJ17" s="29" t="n">
        <f aca="false">MIN(AD17,AG17-AH17-AI17)</f>
        <v>0</v>
      </c>
      <c r="AK17" s="29" t="n">
        <f aca="false">MIN(AF17,AG17-AH17-AI17-AJ17)</f>
        <v>0</v>
      </c>
      <c r="AL17" s="29" t="n">
        <f aca="false">AC17-AH17</f>
        <v>149812701.528127</v>
      </c>
      <c r="AM17" s="29" t="n">
        <f aca="false">AE17-AI17</f>
        <v>38134224.2568</v>
      </c>
      <c r="AN17" s="29" t="n">
        <f aca="false">AD17-AJ17</f>
        <v>14438800.9618162</v>
      </c>
      <c r="AO17" s="29" t="n">
        <f aca="false">AF17-AK17</f>
        <v>0</v>
      </c>
      <c r="AP17" s="29" t="n">
        <f aca="false">D17-E17-F17</f>
        <v>202385726.746743</v>
      </c>
      <c r="AQ17" s="29" t="n">
        <f aca="false">SUM(AL17:AO17)-AP17</f>
        <v>0</v>
      </c>
      <c r="AR17" s="29" t="n">
        <f aca="false">SUMIFS(Python_Results!$C$2:$C$217,Python_Results!$A$2:$A$217,Assumptions!$B$10,Python_Results!$B$2:$B$217,A17)</f>
        <v>202385726.75</v>
      </c>
      <c r="AS17" s="29" t="n">
        <f aca="false">SUMIFS(Python_Results!$D$2:$D$217,Python_Results!$A$2:$A$217,Assumptions!$B$10,Python_Results!$B$2:$B$217,A17)</f>
        <v>149812701.53</v>
      </c>
      <c r="AT17" s="29" t="n">
        <f aca="false">SUMIFS(Python_Results!$E$2:$E$217,Python_Results!$A$2:$A$217,Assumptions!$B$10,Python_Results!$B$2:$B$217,A17)</f>
        <v>38134224.26</v>
      </c>
      <c r="AU17" s="29" t="n">
        <f aca="false">SUMIFS(Python_Results!$F$2:$F$217,Python_Results!$A$2:$A$217,Assumptions!$B$10,Python_Results!$B$2:$B$217,A17)</f>
        <v>14438800.96</v>
      </c>
      <c r="AV17" s="29" t="n">
        <f aca="false">SUMIFS(Python_Results!$G$2:$G$217,Python_Results!$A$2:$A$217,Assumptions!$B$10,Python_Results!$B$2:$B$217,A17)</f>
        <v>0</v>
      </c>
      <c r="AW17" s="29" t="n">
        <f aca="false">AP17-AR17</f>
        <v>-0.00325712561607361</v>
      </c>
      <c r="AX17" s="29" t="n">
        <f aca="false">AL17-AS17</f>
        <v>-0.00187334418296814</v>
      </c>
      <c r="AY17" s="29" t="n">
        <f aca="false">AM17-AT17</f>
        <v>-0.00320000201463699</v>
      </c>
      <c r="AZ17" s="29" t="n">
        <f aca="false">AN17-AU17</f>
        <v>0.00181619450449944</v>
      </c>
      <c r="BA17" s="29" t="n">
        <f aca="false">AO17-AV17</f>
        <v>0</v>
      </c>
    </row>
    <row r="18" customFormat="false" ht="15" hidden="false" customHeight="false" outlineLevel="0" collapsed="false">
      <c r="A18" s="28" t="n">
        <v>12</v>
      </c>
      <c r="B18" s="29" t="n">
        <f aca="false">AP17</f>
        <v>202385726.746743</v>
      </c>
      <c r="C18" s="29" t="n">
        <f aca="false">B18*Assumptions!$B$14</f>
        <v>2243208.97304376</v>
      </c>
      <c r="D18" s="29" t="n">
        <f aca="false">B18-C18</f>
        <v>200142517.773699</v>
      </c>
      <c r="E18" s="29" t="n">
        <f aca="false">D18*Assumptions!$B$15</f>
        <v>895325.406666144</v>
      </c>
      <c r="F18" s="29" t="n">
        <f aca="false">(D18-E18)/MAX(Assumptions!$B$7-A18+1,1)</f>
        <v>5835704.79107888</v>
      </c>
      <c r="G18" s="29" t="n">
        <f aca="false">D18*Assumptions!$B$6/12</f>
        <v>1825541.74777868</v>
      </c>
      <c r="H18" s="29" t="n">
        <f aca="false">C18*(1-Assumptions!$B$13)</f>
        <v>976468.865965949</v>
      </c>
      <c r="I18" s="29" t="n">
        <f aca="false">C18*Assumptions!$B$13</f>
        <v>1266740.10707781</v>
      </c>
      <c r="J18" s="29" t="n">
        <f aca="false">B18*Assumptions!$B$9/12</f>
        <v>84327.3861444762</v>
      </c>
      <c r="K18" s="29" t="n">
        <f aca="false">MAX(G18-J18,0)</f>
        <v>1741214.36163421</v>
      </c>
      <c r="L18" s="29" t="n">
        <f aca="false">AL17</f>
        <v>149812701.528127</v>
      </c>
      <c r="M18" s="29" t="n">
        <f aca="false">AM17</f>
        <v>38134224.2568</v>
      </c>
      <c r="N18" s="29" t="n">
        <f aca="false">AN17</f>
        <v>14438800.9618162</v>
      </c>
      <c r="O18" s="29" t="n">
        <f aca="false">AO17</f>
        <v>0</v>
      </c>
      <c r="P18" s="29" t="n">
        <f aca="false">L18*Assumptions!$C$27/12</f>
        <v>873907.425580739</v>
      </c>
      <c r="Q18" s="29" t="n">
        <f aca="false">M18*Assumptions!$C$28/12</f>
        <v>270117.421819</v>
      </c>
      <c r="R18" s="29" t="n">
        <f aca="false">N18*Assumptions!$C$29/12</f>
        <v>138371.842550739</v>
      </c>
      <c r="S18" s="29" t="n">
        <f aca="false">MIN(P18,K18)</f>
        <v>873907.425580739</v>
      </c>
      <c r="T18" s="29" t="n">
        <f aca="false">MIN(Q18,K18-S18)</f>
        <v>270117.421819</v>
      </c>
      <c r="U18" s="29" t="n">
        <f aca="false">MIN(R18,K18-S18-T18)</f>
        <v>138371.842550739</v>
      </c>
      <c r="V18" s="29" t="n">
        <f aca="false">K18-S18-T18-U18</f>
        <v>458817.671683731</v>
      </c>
      <c r="W18" s="29" t="n">
        <f aca="false">MIN(V18,I18)</f>
        <v>458817.671683731</v>
      </c>
      <c r="X18" s="29" t="n">
        <f aca="false">V18-W18</f>
        <v>0</v>
      </c>
      <c r="Y18" s="29" t="n">
        <f aca="false">MIN(O18,I18-W18)</f>
        <v>0</v>
      </c>
      <c r="Z18" s="29" t="n">
        <f aca="false">MIN(N18,I18-W18-Y18)</f>
        <v>807922.435394081</v>
      </c>
      <c r="AA18" s="29" t="n">
        <f aca="false">MIN(M18,I18-W18-Y18-Z18)</f>
        <v>0</v>
      </c>
      <c r="AB18" s="29" t="n">
        <f aca="false">MIN(L18,I18-W18-Y18-Z18-AA18)</f>
        <v>0</v>
      </c>
      <c r="AC18" s="29" t="n">
        <f aca="false">L18-AB18</f>
        <v>149812701.528127</v>
      </c>
      <c r="AD18" s="29" t="n">
        <f aca="false">N18-Z18</f>
        <v>13630878.5264221</v>
      </c>
      <c r="AE18" s="29" t="n">
        <f aca="false">M18-AA18</f>
        <v>38134224.2568</v>
      </c>
      <c r="AF18" s="29" t="n">
        <f aca="false">O18-Y18</f>
        <v>0</v>
      </c>
      <c r="AG18" s="29" t="n">
        <f aca="false">F18+E18+H18+W18</f>
        <v>8166316.7353947</v>
      </c>
      <c r="AH18" s="29" t="n">
        <f aca="false">MIN(AC18,AG18)</f>
        <v>8166316.7353947</v>
      </c>
      <c r="AI18" s="29" t="n">
        <f aca="false">MIN(AE18,AG18-AH18)</f>
        <v>0</v>
      </c>
      <c r="AJ18" s="29" t="n">
        <f aca="false">MIN(AD18,AG18-AH18-AI18)</f>
        <v>0</v>
      </c>
      <c r="AK18" s="29" t="n">
        <f aca="false">MIN(AF18,AG18-AH18-AI18-AJ18)</f>
        <v>0</v>
      </c>
      <c r="AL18" s="29" t="n">
        <f aca="false">AC18-AH18</f>
        <v>141646384.792732</v>
      </c>
      <c r="AM18" s="29" t="n">
        <f aca="false">AE18-AI18</f>
        <v>38134224.2568</v>
      </c>
      <c r="AN18" s="29" t="n">
        <f aca="false">AD18-AJ18</f>
        <v>13630878.5264221</v>
      </c>
      <c r="AO18" s="29" t="n">
        <f aca="false">AF18-AK18</f>
        <v>0</v>
      </c>
      <c r="AP18" s="29" t="n">
        <f aca="false">D18-E18-F18</f>
        <v>193411487.575954</v>
      </c>
      <c r="AQ18" s="29" t="n">
        <f aca="false">SUM(AL18:AO18)-AP18</f>
        <v>0</v>
      </c>
      <c r="AR18" s="29" t="n">
        <f aca="false">SUMIFS(Python_Results!$C$2:$C$217,Python_Results!$A$2:$A$217,Assumptions!$B$10,Python_Results!$B$2:$B$217,A18)</f>
        <v>193411487.58</v>
      </c>
      <c r="AS18" s="29" t="n">
        <f aca="false">SUMIFS(Python_Results!$D$2:$D$217,Python_Results!$A$2:$A$217,Assumptions!$B$10,Python_Results!$B$2:$B$217,A18)</f>
        <v>141646384.79</v>
      </c>
      <c r="AT18" s="29" t="n">
        <f aca="false">SUMIFS(Python_Results!$E$2:$E$217,Python_Results!$A$2:$A$217,Assumptions!$B$10,Python_Results!$B$2:$B$217,A18)</f>
        <v>38134224.26</v>
      </c>
      <c r="AU18" s="29" t="n">
        <f aca="false">SUMIFS(Python_Results!$F$2:$F$217,Python_Results!$A$2:$A$217,Assumptions!$B$10,Python_Results!$B$2:$B$217,A18)</f>
        <v>13630878.53</v>
      </c>
      <c r="AV18" s="29" t="n">
        <f aca="false">SUMIFS(Python_Results!$G$2:$G$217,Python_Results!$A$2:$A$217,Assumptions!$B$10,Python_Results!$B$2:$B$217,A18)</f>
        <v>0</v>
      </c>
      <c r="AW18" s="29" t="n">
        <f aca="false">AP18-AR18</f>
        <v>-0.00404590368270874</v>
      </c>
      <c r="AX18" s="29" t="n">
        <f aca="false">AL18-AS18</f>
        <v>0.00273194909095764</v>
      </c>
      <c r="AY18" s="29" t="n">
        <f aca="false">AM18-AT18</f>
        <v>-0.00320000201463699</v>
      </c>
      <c r="AZ18" s="29" t="n">
        <f aca="false">AN18-AU18</f>
        <v>-0.00357788428664207</v>
      </c>
      <c r="BA18" s="29" t="n">
        <f aca="false">AO18-AV18</f>
        <v>0</v>
      </c>
    </row>
    <row r="19" customFormat="false" ht="15" hidden="false" customHeight="false" outlineLevel="0" collapsed="false">
      <c r="A19" s="28" t="n">
        <v>13</v>
      </c>
      <c r="B19" s="29" t="n">
        <f aca="false">AP18</f>
        <v>193411487.575954</v>
      </c>
      <c r="C19" s="29" t="n">
        <f aca="false">B19*Assumptions!$B$14</f>
        <v>2143740.03243341</v>
      </c>
      <c r="D19" s="29" t="n">
        <f aca="false">B19-C19</f>
        <v>191267747.543521</v>
      </c>
      <c r="E19" s="29" t="n">
        <f aca="false">D19*Assumptions!$B$15</f>
        <v>855624.660648812</v>
      </c>
      <c r="F19" s="29" t="n">
        <f aca="false">(D19-E19)/MAX(Assumptions!$B$7-A19+1,1)</f>
        <v>5745206.51132836</v>
      </c>
      <c r="G19" s="29" t="n">
        <f aca="false">D19*Assumptions!$B$6/12</f>
        <v>1744593.11308901</v>
      </c>
      <c r="H19" s="29" t="n">
        <f aca="false">C19*(1-Assumptions!$B$13)</f>
        <v>933170.036118264</v>
      </c>
      <c r="I19" s="29" t="n">
        <f aca="false">C19*Assumptions!$B$13</f>
        <v>1210569.99631515</v>
      </c>
      <c r="J19" s="29" t="n">
        <f aca="false">B19*Assumptions!$B$9/12</f>
        <v>80588.1198233142</v>
      </c>
      <c r="K19" s="29" t="n">
        <f aca="false">MAX(G19-J19,0)</f>
        <v>1664004.9932657</v>
      </c>
      <c r="L19" s="29" t="n">
        <f aca="false">AL18</f>
        <v>141646384.792732</v>
      </c>
      <c r="M19" s="29" t="n">
        <f aca="false">AM18</f>
        <v>38134224.2568</v>
      </c>
      <c r="N19" s="29" t="n">
        <f aca="false">AN18</f>
        <v>13630878.5264221</v>
      </c>
      <c r="O19" s="29" t="n">
        <f aca="false">AO18</f>
        <v>0</v>
      </c>
      <c r="P19" s="29" t="n">
        <f aca="false">L19*Assumptions!$C$27/12</f>
        <v>826270.577957603</v>
      </c>
      <c r="Q19" s="29" t="n">
        <f aca="false">M19*Assumptions!$C$28/12</f>
        <v>270117.421819</v>
      </c>
      <c r="R19" s="29" t="n">
        <f aca="false">N19*Assumptions!$C$29/12</f>
        <v>130629.252544879</v>
      </c>
      <c r="S19" s="29" t="n">
        <f aca="false">MIN(P19,K19)</f>
        <v>826270.577957603</v>
      </c>
      <c r="T19" s="29" t="n">
        <f aca="false">MIN(Q19,K19-S19)</f>
        <v>270117.421819</v>
      </c>
      <c r="U19" s="29" t="n">
        <f aca="false">MIN(R19,K19-S19-T19)</f>
        <v>130629.252544879</v>
      </c>
      <c r="V19" s="29" t="n">
        <f aca="false">K19-S19-T19-U19</f>
        <v>436987.740944217</v>
      </c>
      <c r="W19" s="29" t="n">
        <f aca="false">MIN(V19,I19)</f>
        <v>436987.740944217</v>
      </c>
      <c r="X19" s="29" t="n">
        <f aca="false">V19-W19</f>
        <v>0</v>
      </c>
      <c r="Y19" s="29" t="n">
        <f aca="false">MIN(O19,I19-W19)</f>
        <v>0</v>
      </c>
      <c r="Z19" s="29" t="n">
        <f aca="false">MIN(N19,I19-W19-Y19)</f>
        <v>773582.25537093</v>
      </c>
      <c r="AA19" s="29" t="n">
        <f aca="false">MIN(M19,I19-W19-Y19-Z19)</f>
        <v>0</v>
      </c>
      <c r="AB19" s="29" t="n">
        <f aca="false">MIN(L19,I19-W19-Y19-Z19-AA19)</f>
        <v>0</v>
      </c>
      <c r="AC19" s="29" t="n">
        <f aca="false">L19-AB19</f>
        <v>141646384.792732</v>
      </c>
      <c r="AD19" s="29" t="n">
        <f aca="false">N19-Z19</f>
        <v>12857296.2710512</v>
      </c>
      <c r="AE19" s="29" t="n">
        <f aca="false">M19-AA19</f>
        <v>38134224.2568</v>
      </c>
      <c r="AF19" s="29" t="n">
        <f aca="false">O19-Y19</f>
        <v>0</v>
      </c>
      <c r="AG19" s="29" t="n">
        <f aca="false">F19+E19+H19+W19</f>
        <v>7970988.94903965</v>
      </c>
      <c r="AH19" s="29" t="n">
        <f aca="false">MIN(AC19,AG19)</f>
        <v>7970988.94903965</v>
      </c>
      <c r="AI19" s="29" t="n">
        <f aca="false">MIN(AE19,AG19-AH19)</f>
        <v>0</v>
      </c>
      <c r="AJ19" s="29" t="n">
        <f aca="false">MIN(AD19,AG19-AH19-AI19)</f>
        <v>0</v>
      </c>
      <c r="AK19" s="29" t="n">
        <f aca="false">MIN(AF19,AG19-AH19-AI19-AJ19)</f>
        <v>0</v>
      </c>
      <c r="AL19" s="29" t="n">
        <f aca="false">AC19-AH19</f>
        <v>133675395.843692</v>
      </c>
      <c r="AM19" s="29" t="n">
        <f aca="false">AE19-AI19</f>
        <v>38134224.2568</v>
      </c>
      <c r="AN19" s="29" t="n">
        <f aca="false">AD19-AJ19</f>
        <v>12857296.2710512</v>
      </c>
      <c r="AO19" s="29" t="n">
        <f aca="false">AF19-AK19</f>
        <v>0</v>
      </c>
      <c r="AP19" s="29" t="n">
        <f aca="false">D19-E19-F19</f>
        <v>184666916.371544</v>
      </c>
      <c r="AQ19" s="29" t="n">
        <f aca="false">SUM(AL19:AO19)-AP19</f>
        <v>0</v>
      </c>
      <c r="AR19" s="29" t="n">
        <f aca="false">SUMIFS(Python_Results!$C$2:$C$217,Python_Results!$A$2:$A$217,Assumptions!$B$10,Python_Results!$B$2:$B$217,A19)</f>
        <v>184666916.37</v>
      </c>
      <c r="AS19" s="29" t="n">
        <f aca="false">SUMIFS(Python_Results!$D$2:$D$217,Python_Results!$A$2:$A$217,Assumptions!$B$10,Python_Results!$B$2:$B$217,A19)</f>
        <v>133675395.84</v>
      </c>
      <c r="AT19" s="29" t="n">
        <f aca="false">SUMIFS(Python_Results!$E$2:$E$217,Python_Results!$A$2:$A$217,Assumptions!$B$10,Python_Results!$B$2:$B$217,A19)</f>
        <v>38134224.26</v>
      </c>
      <c r="AU19" s="29" t="n">
        <f aca="false">SUMIFS(Python_Results!$F$2:$F$217,Python_Results!$A$2:$A$217,Assumptions!$B$10,Python_Results!$B$2:$B$217,A19)</f>
        <v>12857296.27</v>
      </c>
      <c r="AV19" s="29" t="n">
        <f aca="false">SUMIFS(Python_Results!$G$2:$G$217,Python_Results!$A$2:$A$217,Assumptions!$B$10,Python_Results!$B$2:$B$217,A19)</f>
        <v>0</v>
      </c>
      <c r="AW19" s="29" t="n">
        <f aca="false">AP19-AR19</f>
        <v>0.00154349207878113</v>
      </c>
      <c r="AX19" s="29" t="n">
        <f aca="false">AL19-AS19</f>
        <v>0.00369228422641754</v>
      </c>
      <c r="AY19" s="29" t="n">
        <f aca="false">AM19-AT19</f>
        <v>-0.00320000201463699</v>
      </c>
      <c r="AZ19" s="29" t="n">
        <f aca="false">AN19-AU19</f>
        <v>0.00105118565261364</v>
      </c>
      <c r="BA19" s="29" t="n">
        <f aca="false">AO19-AV19</f>
        <v>0</v>
      </c>
    </row>
    <row r="20" customFormat="false" ht="15" hidden="false" customHeight="false" outlineLevel="0" collapsed="false">
      <c r="A20" s="28" t="n">
        <v>14</v>
      </c>
      <c r="B20" s="29" t="n">
        <f aca="false">AP19</f>
        <v>184666916.371544</v>
      </c>
      <c r="C20" s="29" t="n">
        <f aca="false">B20*Assumptions!$B$14</f>
        <v>2046816.69249996</v>
      </c>
      <c r="D20" s="29" t="n">
        <f aca="false">B20-C20</f>
        <v>182620099.679044</v>
      </c>
      <c r="E20" s="29" t="n">
        <f aca="false">D20*Assumptions!$B$15</f>
        <v>816939.93275045</v>
      </c>
      <c r="F20" s="29" t="n">
        <f aca="false">(D20-E20)/MAX(Assumptions!$B$7-A20+1,1)</f>
        <v>5656111.65051882</v>
      </c>
      <c r="G20" s="29" t="n">
        <f aca="false">D20*Assumptions!$B$6/12</f>
        <v>1665716.10898066</v>
      </c>
      <c r="H20" s="29" t="n">
        <f aca="false">C20*(1-Assumptions!$B$13)</f>
        <v>890979.306245231</v>
      </c>
      <c r="I20" s="29" t="n">
        <f aca="false">C20*Assumptions!$B$13</f>
        <v>1155837.38625473</v>
      </c>
      <c r="J20" s="29" t="n">
        <f aca="false">B20*Assumptions!$B$9/12</f>
        <v>76944.5484881431</v>
      </c>
      <c r="K20" s="29" t="n">
        <f aca="false">MAX(G20-J20,0)</f>
        <v>1588771.56049252</v>
      </c>
      <c r="L20" s="29" t="n">
        <f aca="false">AL19</f>
        <v>133675395.843692</v>
      </c>
      <c r="M20" s="29" t="n">
        <f aca="false">AM19</f>
        <v>38134224.2568</v>
      </c>
      <c r="N20" s="29" t="n">
        <f aca="false">AN19</f>
        <v>12857296.2710512</v>
      </c>
      <c r="O20" s="29" t="n">
        <f aca="false">AO19</f>
        <v>0</v>
      </c>
      <c r="P20" s="29" t="n">
        <f aca="false">L20*Assumptions!$C$27/12</f>
        <v>779773.142421539</v>
      </c>
      <c r="Q20" s="29" t="n">
        <f aca="false">M20*Assumptions!$C$28/12</f>
        <v>270117.421819</v>
      </c>
      <c r="R20" s="29" t="n">
        <f aca="false">N20*Assumptions!$C$29/12</f>
        <v>123215.755930907</v>
      </c>
      <c r="S20" s="29" t="n">
        <f aca="false">MIN(P20,K20)</f>
        <v>779773.142421539</v>
      </c>
      <c r="T20" s="29" t="n">
        <f aca="false">MIN(Q20,K20-S20)</f>
        <v>270117.421819</v>
      </c>
      <c r="U20" s="29" t="n">
        <f aca="false">MIN(R20,K20-S20-T20)</f>
        <v>123215.755930907</v>
      </c>
      <c r="V20" s="29" t="n">
        <f aca="false">K20-S20-T20-U20</f>
        <v>415665.240321071</v>
      </c>
      <c r="W20" s="29" t="n">
        <f aca="false">MIN(V20,I20)</f>
        <v>415665.240321071</v>
      </c>
      <c r="X20" s="29" t="n">
        <f aca="false">V20-W20</f>
        <v>0</v>
      </c>
      <c r="Y20" s="29" t="n">
        <f aca="false">MIN(O20,I20-W20)</f>
        <v>0</v>
      </c>
      <c r="Z20" s="29" t="n">
        <f aca="false">MIN(N20,I20-W20-Y20)</f>
        <v>740172.145933654</v>
      </c>
      <c r="AA20" s="29" t="n">
        <f aca="false">MIN(M20,I20-W20-Y20-Z20)</f>
        <v>0</v>
      </c>
      <c r="AB20" s="29" t="n">
        <f aca="false">MIN(L20,I20-W20-Y20-Z20-AA20)</f>
        <v>0</v>
      </c>
      <c r="AC20" s="29" t="n">
        <f aca="false">L20-AB20</f>
        <v>133675395.843692</v>
      </c>
      <c r="AD20" s="29" t="n">
        <f aca="false">N20-Z20</f>
        <v>12117124.1251175</v>
      </c>
      <c r="AE20" s="29" t="n">
        <f aca="false">M20-AA20</f>
        <v>38134224.2568</v>
      </c>
      <c r="AF20" s="29" t="n">
        <f aca="false">O20-Y20</f>
        <v>0</v>
      </c>
      <c r="AG20" s="29" t="n">
        <f aca="false">F20+E20+H20+W20</f>
        <v>7779696.12983558</v>
      </c>
      <c r="AH20" s="29" t="n">
        <f aca="false">MIN(AC20,AG20)</f>
        <v>7779696.12983558</v>
      </c>
      <c r="AI20" s="29" t="n">
        <f aca="false">MIN(AE20,AG20-AH20)</f>
        <v>0</v>
      </c>
      <c r="AJ20" s="29" t="n">
        <f aca="false">MIN(AD20,AG20-AH20-AI20)</f>
        <v>0</v>
      </c>
      <c r="AK20" s="29" t="n">
        <f aca="false">MIN(AF20,AG20-AH20-AI20-AJ20)</f>
        <v>0</v>
      </c>
      <c r="AL20" s="29" t="n">
        <f aca="false">AC20-AH20</f>
        <v>125895699.713857</v>
      </c>
      <c r="AM20" s="29" t="n">
        <f aca="false">AE20-AI20</f>
        <v>38134224.2568</v>
      </c>
      <c r="AN20" s="29" t="n">
        <f aca="false">AD20-AJ20</f>
        <v>12117124.1251175</v>
      </c>
      <c r="AO20" s="29" t="n">
        <f aca="false">AF20-AK20</f>
        <v>0</v>
      </c>
      <c r="AP20" s="29" t="n">
        <f aca="false">D20-E20-F20</f>
        <v>176147048.095774</v>
      </c>
      <c r="AQ20" s="29" t="n">
        <f aca="false">SUM(AL20:AO20)-AP20</f>
        <v>0</v>
      </c>
      <c r="AR20" s="29" t="n">
        <f aca="false">SUMIFS(Python_Results!$C$2:$C$217,Python_Results!$A$2:$A$217,Assumptions!$B$10,Python_Results!$B$2:$B$217,A20)</f>
        <v>176147048.1</v>
      </c>
      <c r="AS20" s="29" t="n">
        <f aca="false">SUMIFS(Python_Results!$D$2:$D$217,Python_Results!$A$2:$A$217,Assumptions!$B$10,Python_Results!$B$2:$B$217,A20)</f>
        <v>125895699.71</v>
      </c>
      <c r="AT20" s="29" t="n">
        <f aca="false">SUMIFS(Python_Results!$E$2:$E$217,Python_Results!$A$2:$A$217,Assumptions!$B$10,Python_Results!$B$2:$B$217,A20)</f>
        <v>38134224.26</v>
      </c>
      <c r="AU20" s="29" t="n">
        <f aca="false">SUMIFS(Python_Results!$F$2:$F$217,Python_Results!$A$2:$A$217,Assumptions!$B$10,Python_Results!$B$2:$B$217,A20)</f>
        <v>12117124.13</v>
      </c>
      <c r="AV20" s="29" t="n">
        <f aca="false">SUMIFS(Python_Results!$G$2:$G$217,Python_Results!$A$2:$A$217,Assumptions!$B$10,Python_Results!$B$2:$B$217,A20)</f>
        <v>0</v>
      </c>
      <c r="AW20" s="29" t="n">
        <f aca="false">AP20-AR20</f>
        <v>-0.00422576069831848</v>
      </c>
      <c r="AX20" s="29" t="n">
        <f aca="false">AL20-AS20</f>
        <v>0.00385671854019165</v>
      </c>
      <c r="AY20" s="29" t="n">
        <f aca="false">AM20-AT20</f>
        <v>-0.00320000201463699</v>
      </c>
      <c r="AZ20" s="29" t="n">
        <f aca="false">AN20-AU20</f>
        <v>-0.00488246977329254</v>
      </c>
      <c r="BA20" s="29" t="n">
        <f aca="false">AO20-AV20</f>
        <v>0</v>
      </c>
    </row>
    <row r="21" customFormat="false" ht="15" hidden="false" customHeight="false" outlineLevel="0" collapsed="false">
      <c r="A21" s="28" t="n">
        <v>15</v>
      </c>
      <c r="B21" s="29" t="n">
        <f aca="false">AP20</f>
        <v>176147048.095774</v>
      </c>
      <c r="C21" s="29" t="n">
        <f aca="false">B21*Assumptions!$B$14</f>
        <v>1952383.92160958</v>
      </c>
      <c r="D21" s="29" t="n">
        <f aca="false">B21-C21</f>
        <v>174194664.174165</v>
      </c>
      <c r="E21" s="29" t="n">
        <f aca="false">D21*Assumptions!$B$15</f>
        <v>779249.258356744</v>
      </c>
      <c r="F21" s="29" t="n">
        <f aca="false">(D21-E21)/MAX(Assumptions!$B$7-A21+1,1)</f>
        <v>5568398.44486947</v>
      </c>
      <c r="G21" s="29" t="n">
        <f aca="false">D21*Assumptions!$B$6/12</f>
        <v>1588865.95026144</v>
      </c>
      <c r="H21" s="29" t="n">
        <f aca="false">C21*(1-Assumptions!$B$13)</f>
        <v>849872.721076652</v>
      </c>
      <c r="I21" s="29" t="n">
        <f aca="false">C21*Assumptions!$B$13</f>
        <v>1102511.20053293</v>
      </c>
      <c r="J21" s="29" t="n">
        <f aca="false">B21*Assumptions!$B$9/12</f>
        <v>73394.6033732393</v>
      </c>
      <c r="K21" s="29" t="n">
        <f aca="false">MAX(G21-J21,0)</f>
        <v>1515471.3468882</v>
      </c>
      <c r="L21" s="29" t="n">
        <f aca="false">AL20</f>
        <v>125895699.713857</v>
      </c>
      <c r="M21" s="29" t="n">
        <f aca="false">AM20</f>
        <v>38134224.2568</v>
      </c>
      <c r="N21" s="29" t="n">
        <f aca="false">AN20</f>
        <v>12117124.1251175</v>
      </c>
      <c r="O21" s="29" t="n">
        <f aca="false">AO20</f>
        <v>0</v>
      </c>
      <c r="P21" s="29" t="n">
        <f aca="false">L21*Assumptions!$C$27/12</f>
        <v>734391.581664164</v>
      </c>
      <c r="Q21" s="29" t="n">
        <f aca="false">M21*Assumptions!$C$28/12</f>
        <v>270117.421819</v>
      </c>
      <c r="R21" s="29" t="n">
        <f aca="false">N21*Assumptions!$C$29/12</f>
        <v>116122.439532376</v>
      </c>
      <c r="S21" s="29" t="n">
        <f aca="false">MIN(P21,K21)</f>
        <v>734391.581664164</v>
      </c>
      <c r="T21" s="29" t="n">
        <f aca="false">MIN(Q21,K21-S21)</f>
        <v>270117.421819</v>
      </c>
      <c r="U21" s="29" t="n">
        <f aca="false">MIN(R21,K21-S21-T21)</f>
        <v>116122.439532376</v>
      </c>
      <c r="V21" s="29" t="n">
        <f aca="false">K21-S21-T21-U21</f>
        <v>394839.90387266</v>
      </c>
      <c r="W21" s="29" t="n">
        <f aca="false">MIN(V21,I21)</f>
        <v>394839.90387266</v>
      </c>
      <c r="X21" s="29" t="n">
        <f aca="false">V21-W21</f>
        <v>0</v>
      </c>
      <c r="Y21" s="29" t="n">
        <f aca="false">MIN(O21,I21-W21)</f>
        <v>0</v>
      </c>
      <c r="Z21" s="29" t="n">
        <f aca="false">MIN(N21,I21-W21-Y21)</f>
        <v>707671.296660272</v>
      </c>
      <c r="AA21" s="29" t="n">
        <f aca="false">MIN(M21,I21-W21-Y21-Z21)</f>
        <v>0</v>
      </c>
      <c r="AB21" s="29" t="n">
        <f aca="false">MIN(L21,I21-W21-Y21-Z21-AA21)</f>
        <v>0</v>
      </c>
      <c r="AC21" s="29" t="n">
        <f aca="false">L21-AB21</f>
        <v>125895699.713857</v>
      </c>
      <c r="AD21" s="29" t="n">
        <f aca="false">N21-Z21</f>
        <v>11409452.8284573</v>
      </c>
      <c r="AE21" s="29" t="n">
        <f aca="false">M21-AA21</f>
        <v>38134224.2568</v>
      </c>
      <c r="AF21" s="29" t="n">
        <f aca="false">O21-Y21</f>
        <v>0</v>
      </c>
      <c r="AG21" s="29" t="n">
        <f aca="false">F21+E21+H21+W21</f>
        <v>7592360.32817553</v>
      </c>
      <c r="AH21" s="29" t="n">
        <f aca="false">MIN(AC21,AG21)</f>
        <v>7592360.32817553</v>
      </c>
      <c r="AI21" s="29" t="n">
        <f aca="false">MIN(AE21,AG21-AH21)</f>
        <v>0</v>
      </c>
      <c r="AJ21" s="29" t="n">
        <f aca="false">MIN(AD21,AG21-AH21-AI21)</f>
        <v>0</v>
      </c>
      <c r="AK21" s="29" t="n">
        <f aca="false">MIN(AF21,AG21-AH21-AI21-AJ21)</f>
        <v>0</v>
      </c>
      <c r="AL21" s="29" t="n">
        <f aca="false">AC21-AH21</f>
        <v>118303339.385681</v>
      </c>
      <c r="AM21" s="29" t="n">
        <f aca="false">AE21-AI21</f>
        <v>38134224.2568</v>
      </c>
      <c r="AN21" s="29" t="n">
        <f aca="false">AD21-AJ21</f>
        <v>11409452.8284573</v>
      </c>
      <c r="AO21" s="29" t="n">
        <f aca="false">AF21-AK21</f>
        <v>0</v>
      </c>
      <c r="AP21" s="29" t="n">
        <f aca="false">D21-E21-F21</f>
        <v>167847016.470938</v>
      </c>
      <c r="AQ21" s="29" t="n">
        <f aca="false">SUM(AL21:AO21)-AP21</f>
        <v>0</v>
      </c>
      <c r="AR21" s="29" t="n">
        <f aca="false">SUMIFS(Python_Results!$C$2:$C$217,Python_Results!$A$2:$A$217,Assumptions!$B$10,Python_Results!$B$2:$B$217,A21)</f>
        <v>167847016.47</v>
      </c>
      <c r="AS21" s="29" t="n">
        <f aca="false">SUMIFS(Python_Results!$D$2:$D$217,Python_Results!$A$2:$A$217,Assumptions!$B$10,Python_Results!$B$2:$B$217,A21)</f>
        <v>118303339.39</v>
      </c>
      <c r="AT21" s="29" t="n">
        <f aca="false">SUMIFS(Python_Results!$E$2:$E$217,Python_Results!$A$2:$A$217,Assumptions!$B$10,Python_Results!$B$2:$B$217,A21)</f>
        <v>38134224.26</v>
      </c>
      <c r="AU21" s="29" t="n">
        <f aca="false">SUMIFS(Python_Results!$F$2:$F$217,Python_Results!$A$2:$A$217,Assumptions!$B$10,Python_Results!$B$2:$B$217,A21)</f>
        <v>11409452.83</v>
      </c>
      <c r="AV21" s="29" t="n">
        <f aca="false">SUMIFS(Python_Results!$G$2:$G$217,Python_Results!$A$2:$A$217,Assumptions!$B$10,Python_Results!$B$2:$B$217,A21)</f>
        <v>0</v>
      </c>
      <c r="AW21" s="29" t="n">
        <f aca="false">AP21-AR21</f>
        <v>0.000938445329666138</v>
      </c>
      <c r="AX21" s="29" t="n">
        <f aca="false">AL21-AS21</f>
        <v>-0.00431881844997406</v>
      </c>
      <c r="AY21" s="29" t="n">
        <f aca="false">AM21-AT21</f>
        <v>-0.00320000201463699</v>
      </c>
      <c r="AZ21" s="29" t="n">
        <f aca="false">AN21-AU21</f>
        <v>-0.00154274143278599</v>
      </c>
      <c r="BA21" s="29" t="n">
        <f aca="false">AO21-AV21</f>
        <v>0</v>
      </c>
    </row>
    <row r="22" customFormat="false" ht="15" hidden="false" customHeight="false" outlineLevel="0" collapsed="false">
      <c r="A22" s="28" t="n">
        <v>16</v>
      </c>
      <c r="B22" s="29" t="n">
        <f aca="false">AP21</f>
        <v>167847016.470938</v>
      </c>
      <c r="C22" s="29" t="n">
        <f aca="false">B22*Assumptions!$B$14</f>
        <v>1860387.78276785</v>
      </c>
      <c r="D22" s="29" t="n">
        <f aca="false">B22-C22</f>
        <v>165986628.688171</v>
      </c>
      <c r="E22" s="29" t="n">
        <f aca="false">D22*Assumptions!$B$15</f>
        <v>742531.109753571</v>
      </c>
      <c r="F22" s="29" t="n">
        <f aca="false">(D22-E22)/MAX(Assumptions!$B$7-A22+1,1)</f>
        <v>5482045.46810537</v>
      </c>
      <c r="G22" s="29" t="n">
        <f aca="false">D22*Assumptions!$B$6/12</f>
        <v>1513998.7425656</v>
      </c>
      <c r="H22" s="29" t="n">
        <f aca="false">C22*(1-Assumptions!$B$13)</f>
        <v>809826.801838845</v>
      </c>
      <c r="I22" s="29" t="n">
        <f aca="false">C22*Assumptions!$B$13</f>
        <v>1050560.98092901</v>
      </c>
      <c r="J22" s="29" t="n">
        <f aca="false">B22*Assumptions!$B$9/12</f>
        <v>69936.256862891</v>
      </c>
      <c r="K22" s="29" t="n">
        <f aca="false">MAX(G22-J22,0)</f>
        <v>1444062.48570271</v>
      </c>
      <c r="L22" s="29" t="n">
        <f aca="false">AL21</f>
        <v>118303339.385681</v>
      </c>
      <c r="M22" s="29" t="n">
        <f aca="false">AM21</f>
        <v>38134224.2568</v>
      </c>
      <c r="N22" s="29" t="n">
        <f aca="false">AN21</f>
        <v>11409452.8284573</v>
      </c>
      <c r="O22" s="29" t="n">
        <f aca="false">AO21</f>
        <v>0</v>
      </c>
      <c r="P22" s="29" t="n">
        <f aca="false">L22*Assumptions!$C$27/12</f>
        <v>690102.81308314</v>
      </c>
      <c r="Q22" s="29" t="n">
        <f aca="false">M22*Assumptions!$C$28/12</f>
        <v>270117.421819</v>
      </c>
      <c r="R22" s="29" t="n">
        <f aca="false">N22*Assumptions!$C$29/12</f>
        <v>109340.589606049</v>
      </c>
      <c r="S22" s="29" t="n">
        <f aca="false">MIN(P22,K22)</f>
        <v>690102.81308314</v>
      </c>
      <c r="T22" s="29" t="n">
        <f aca="false">MIN(Q22,K22-S22)</f>
        <v>270117.421819</v>
      </c>
      <c r="U22" s="29" t="n">
        <f aca="false">MIN(R22,K22-S22-T22)</f>
        <v>109340.589606049</v>
      </c>
      <c r="V22" s="29" t="n">
        <f aca="false">K22-S22-T22-U22</f>
        <v>374501.661194524</v>
      </c>
      <c r="W22" s="29" t="n">
        <f aca="false">MIN(V22,I22)</f>
        <v>374501.661194524</v>
      </c>
      <c r="X22" s="29" t="n">
        <f aca="false">V22-W22</f>
        <v>0</v>
      </c>
      <c r="Y22" s="29" t="n">
        <f aca="false">MIN(O22,I22-W22)</f>
        <v>0</v>
      </c>
      <c r="Z22" s="29" t="n">
        <f aca="false">MIN(N22,I22-W22-Y22)</f>
        <v>676059.319734481</v>
      </c>
      <c r="AA22" s="29" t="n">
        <f aca="false">MIN(M22,I22-W22-Y22-Z22)</f>
        <v>0</v>
      </c>
      <c r="AB22" s="29" t="n">
        <f aca="false">MIN(L22,I22-W22-Y22-Z22-AA22)</f>
        <v>0</v>
      </c>
      <c r="AC22" s="29" t="n">
        <f aca="false">L22-AB22</f>
        <v>118303339.385681</v>
      </c>
      <c r="AD22" s="29" t="n">
        <f aca="false">N22-Z22</f>
        <v>10733393.5087228</v>
      </c>
      <c r="AE22" s="29" t="n">
        <f aca="false">M22-AA22</f>
        <v>38134224.2568</v>
      </c>
      <c r="AF22" s="29" t="n">
        <f aca="false">O22-Y22</f>
        <v>0</v>
      </c>
      <c r="AG22" s="29" t="n">
        <f aca="false">F22+E22+H22+W22</f>
        <v>7408905.04089231</v>
      </c>
      <c r="AH22" s="29" t="n">
        <f aca="false">MIN(AC22,AG22)</f>
        <v>7408905.04089231</v>
      </c>
      <c r="AI22" s="29" t="n">
        <f aca="false">MIN(AE22,AG22-AH22)</f>
        <v>0</v>
      </c>
      <c r="AJ22" s="29" t="n">
        <f aca="false">MIN(AD22,AG22-AH22-AI22)</f>
        <v>0</v>
      </c>
      <c r="AK22" s="29" t="n">
        <f aca="false">MIN(AF22,AG22-AH22-AI22-AJ22)</f>
        <v>0</v>
      </c>
      <c r="AL22" s="29" t="n">
        <f aca="false">AC22-AH22</f>
        <v>110894434.344789</v>
      </c>
      <c r="AM22" s="29" t="n">
        <f aca="false">AE22-AI22</f>
        <v>38134224.2568</v>
      </c>
      <c r="AN22" s="29" t="n">
        <f aca="false">AD22-AJ22</f>
        <v>10733393.5087228</v>
      </c>
      <c r="AO22" s="29" t="n">
        <f aca="false">AF22-AK22</f>
        <v>0</v>
      </c>
      <c r="AP22" s="29" t="n">
        <f aca="false">D22-E22-F22</f>
        <v>159762052.110312</v>
      </c>
      <c r="AQ22" s="29" t="n">
        <f aca="false">SUM(AL22:AO22)-AP22</f>
        <v>0</v>
      </c>
      <c r="AR22" s="29" t="n">
        <f aca="false">SUMIFS(Python_Results!$C$2:$C$217,Python_Results!$A$2:$A$217,Assumptions!$B$10,Python_Results!$B$2:$B$217,A22)</f>
        <v>159762052.11</v>
      </c>
      <c r="AS22" s="29" t="n">
        <f aca="false">SUMIFS(Python_Results!$D$2:$D$217,Python_Results!$A$2:$A$217,Assumptions!$B$10,Python_Results!$B$2:$B$217,A22)</f>
        <v>110894434.34</v>
      </c>
      <c r="AT22" s="29" t="n">
        <f aca="false">SUMIFS(Python_Results!$E$2:$E$217,Python_Results!$A$2:$A$217,Assumptions!$B$10,Python_Results!$B$2:$B$217,A22)</f>
        <v>38134224.26</v>
      </c>
      <c r="AU22" s="29" t="n">
        <f aca="false">SUMIFS(Python_Results!$F$2:$F$217,Python_Results!$A$2:$A$217,Assumptions!$B$10,Python_Results!$B$2:$B$217,A22)</f>
        <v>10733393.51</v>
      </c>
      <c r="AV22" s="29" t="n">
        <f aca="false">SUMIFS(Python_Results!$G$2:$G$217,Python_Results!$A$2:$A$217,Assumptions!$B$10,Python_Results!$B$2:$B$217,A22)</f>
        <v>0</v>
      </c>
      <c r="AW22" s="29" t="n">
        <f aca="false">AP22-AR22</f>
        <v>0.000311613082885742</v>
      </c>
      <c r="AX22" s="29" t="n">
        <f aca="false">AL22-AS22</f>
        <v>0.00478886067867279</v>
      </c>
      <c r="AY22" s="29" t="n">
        <f aca="false">AM22-AT22</f>
        <v>-0.00320000201463699</v>
      </c>
      <c r="AZ22" s="29" t="n">
        <f aca="false">AN22-AU22</f>
        <v>-0.00127722322940826</v>
      </c>
      <c r="BA22" s="29" t="n">
        <f aca="false">AO22-AV22</f>
        <v>0</v>
      </c>
    </row>
    <row r="23" customFormat="false" ht="15" hidden="false" customHeight="false" outlineLevel="0" collapsed="false">
      <c r="A23" s="28" t="n">
        <v>17</v>
      </c>
      <c r="B23" s="29" t="n">
        <f aca="false">AP22</f>
        <v>159762052.110312</v>
      </c>
      <c r="C23" s="29" t="n">
        <f aca="false">B23*Assumptions!$B$14</f>
        <v>1770775.41290349</v>
      </c>
      <c r="D23" s="29" t="n">
        <f aca="false">B23-C23</f>
        <v>157991276.697408</v>
      </c>
      <c r="E23" s="29" t="n">
        <f aca="false">D23*Assumptions!$B$15</f>
        <v>706764.387858614</v>
      </c>
      <c r="F23" s="29" t="n">
        <f aca="false">(D23-E23)/MAX(Assumptions!$B$7-A23+1,1)</f>
        <v>5397031.62622357</v>
      </c>
      <c r="G23" s="29" t="n">
        <f aca="false">D23*Assumptions!$B$6/12</f>
        <v>1441071.46549484</v>
      </c>
      <c r="H23" s="29" t="n">
        <f aca="false">C23*(1-Assumptions!$B$13)</f>
        <v>770818.537236888</v>
      </c>
      <c r="I23" s="29" t="n">
        <f aca="false">C23*Assumptions!$B$13</f>
        <v>999956.875666599</v>
      </c>
      <c r="J23" s="29" t="n">
        <f aca="false">B23*Assumptions!$B$9/12</f>
        <v>66567.5217126298</v>
      </c>
      <c r="K23" s="29" t="n">
        <f aca="false">MAX(G23-J23,0)</f>
        <v>1374503.94378221</v>
      </c>
      <c r="L23" s="29" t="n">
        <f aca="false">AL22</f>
        <v>110894434.344789</v>
      </c>
      <c r="M23" s="29" t="n">
        <f aca="false">AM22</f>
        <v>38134224.2568</v>
      </c>
      <c r="N23" s="29" t="n">
        <f aca="false">AN22</f>
        <v>10733393.5087228</v>
      </c>
      <c r="O23" s="29" t="n">
        <f aca="false">AO22</f>
        <v>0</v>
      </c>
      <c r="P23" s="29" t="n">
        <f aca="false">L23*Assumptions!$C$27/12</f>
        <v>646884.200344602</v>
      </c>
      <c r="Q23" s="29" t="n">
        <f aca="false">M23*Assumptions!$C$28/12</f>
        <v>270117.421819</v>
      </c>
      <c r="R23" s="29" t="n">
        <f aca="false">N23*Assumptions!$C$29/12</f>
        <v>102861.687791927</v>
      </c>
      <c r="S23" s="29" t="n">
        <f aca="false">MIN(P23,K23)</f>
        <v>646884.200344602</v>
      </c>
      <c r="T23" s="29" t="n">
        <f aca="false">MIN(Q23,K23-S23)</f>
        <v>270117.421819</v>
      </c>
      <c r="U23" s="29" t="n">
        <f aca="false">MIN(R23,K23-S23-T23)</f>
        <v>102861.687791927</v>
      </c>
      <c r="V23" s="29" t="n">
        <f aca="false">K23-S23-T23-U23</f>
        <v>354640.633826684</v>
      </c>
      <c r="W23" s="29" t="n">
        <f aca="false">MIN(V23,I23)</f>
        <v>354640.633826684</v>
      </c>
      <c r="X23" s="29" t="n">
        <f aca="false">V23-W23</f>
        <v>0</v>
      </c>
      <c r="Y23" s="29" t="n">
        <f aca="false">MIN(O23,I23-W23)</f>
        <v>0</v>
      </c>
      <c r="Z23" s="29" t="n">
        <f aca="false">MIN(N23,I23-W23-Y23)</f>
        <v>645316.241839915</v>
      </c>
      <c r="AA23" s="29" t="n">
        <f aca="false">MIN(M23,I23-W23-Y23-Z23)</f>
        <v>0</v>
      </c>
      <c r="AB23" s="29" t="n">
        <f aca="false">MIN(L23,I23-W23-Y23-Z23-AA23)</f>
        <v>0</v>
      </c>
      <c r="AC23" s="29" t="n">
        <f aca="false">L23-AB23</f>
        <v>110894434.344789</v>
      </c>
      <c r="AD23" s="29" t="n">
        <f aca="false">N23-Z23</f>
        <v>10088077.2668829</v>
      </c>
      <c r="AE23" s="29" t="n">
        <f aca="false">M23-AA23</f>
        <v>38134224.2568</v>
      </c>
      <c r="AF23" s="29" t="n">
        <f aca="false">O23-Y23</f>
        <v>0</v>
      </c>
      <c r="AG23" s="29" t="n">
        <f aca="false">F23+E23+H23+W23</f>
        <v>7229255.18514576</v>
      </c>
      <c r="AH23" s="29" t="n">
        <f aca="false">MIN(AC23,AG23)</f>
        <v>7229255.18514576</v>
      </c>
      <c r="AI23" s="29" t="n">
        <f aca="false">MIN(AE23,AG23-AH23)</f>
        <v>0</v>
      </c>
      <c r="AJ23" s="29" t="n">
        <f aca="false">MIN(AD23,AG23-AH23-AI23)</f>
        <v>0</v>
      </c>
      <c r="AK23" s="29" t="n">
        <f aca="false">MIN(AF23,AG23-AH23-AI23-AJ23)</f>
        <v>0</v>
      </c>
      <c r="AL23" s="29" t="n">
        <f aca="false">AC23-AH23</f>
        <v>103665179.159643</v>
      </c>
      <c r="AM23" s="29" t="n">
        <f aca="false">AE23-AI23</f>
        <v>38134224.2568</v>
      </c>
      <c r="AN23" s="29" t="n">
        <f aca="false">AD23-AJ23</f>
        <v>10088077.2668829</v>
      </c>
      <c r="AO23" s="29" t="n">
        <f aca="false">AF23-AK23</f>
        <v>0</v>
      </c>
      <c r="AP23" s="29" t="n">
        <f aca="false">D23-E23-F23</f>
        <v>151887480.683326</v>
      </c>
      <c r="AQ23" s="29" t="n">
        <f aca="false">SUM(AL23:AO23)-AP23</f>
        <v>0</v>
      </c>
      <c r="AR23" s="29" t="n">
        <f aca="false">SUMIFS(Python_Results!$C$2:$C$217,Python_Results!$A$2:$A$217,Assumptions!$B$10,Python_Results!$B$2:$B$217,A23)</f>
        <v>151887480.68</v>
      </c>
      <c r="AS23" s="29" t="n">
        <f aca="false">SUMIFS(Python_Results!$D$2:$D$217,Python_Results!$A$2:$A$217,Assumptions!$B$10,Python_Results!$B$2:$B$217,A23)</f>
        <v>103665179.16</v>
      </c>
      <c r="AT23" s="29" t="n">
        <f aca="false">SUMIFS(Python_Results!$E$2:$E$217,Python_Results!$A$2:$A$217,Assumptions!$B$10,Python_Results!$B$2:$B$217,A23)</f>
        <v>38134224.26</v>
      </c>
      <c r="AU23" s="29" t="n">
        <f aca="false">SUMIFS(Python_Results!$F$2:$F$217,Python_Results!$A$2:$A$217,Assumptions!$B$10,Python_Results!$B$2:$B$217,A23)</f>
        <v>10088077.27</v>
      </c>
      <c r="AV23" s="29" t="n">
        <f aca="false">SUMIFS(Python_Results!$G$2:$G$217,Python_Results!$A$2:$A$217,Assumptions!$B$10,Python_Results!$B$2:$B$217,A23)</f>
        <v>0</v>
      </c>
      <c r="AW23" s="29" t="n">
        <f aca="false">AP23-AR23</f>
        <v>0.00332596898078918</v>
      </c>
      <c r="AX23" s="29" t="n">
        <f aca="false">AL23-AS23</f>
        <v>-0.000356882810592651</v>
      </c>
      <c r="AY23" s="29" t="n">
        <f aca="false">AM23-AT23</f>
        <v>-0.00320000201463699</v>
      </c>
      <c r="AZ23" s="29" t="n">
        <f aca="false">AN23-AU23</f>
        <v>-0.00311713851988316</v>
      </c>
      <c r="BA23" s="29" t="n">
        <f aca="false">AO23-AV23</f>
        <v>0</v>
      </c>
    </row>
    <row r="24" customFormat="false" ht="15" hidden="false" customHeight="false" outlineLevel="0" collapsed="false">
      <c r="A24" s="28" t="n">
        <v>18</v>
      </c>
      <c r="B24" s="29" t="n">
        <f aca="false">AP23</f>
        <v>151887480.683326</v>
      </c>
      <c r="C24" s="29" t="n">
        <f aca="false">B24*Assumptions!$B$14</f>
        <v>1683495.0025315</v>
      </c>
      <c r="D24" s="29" t="n">
        <f aca="false">B24-C24</f>
        <v>150203985.680794</v>
      </c>
      <c r="E24" s="29" t="n">
        <f aca="false">D24*Assumptions!$B$15</f>
        <v>671928.414104349</v>
      </c>
      <c r="F24" s="29" t="n">
        <f aca="false">(D24-E24)/MAX(Assumptions!$B$7-A24+1,1)</f>
        <v>5313336.15234027</v>
      </c>
      <c r="G24" s="29" t="n">
        <f aca="false">D24*Assumptions!$B$6/12</f>
        <v>1370041.95606794</v>
      </c>
      <c r="H24" s="29" t="n">
        <f aca="false">C24*(1-Assumptions!$B$13)</f>
        <v>732825.374601963</v>
      </c>
      <c r="I24" s="29" t="n">
        <f aca="false">C24*Assumptions!$B$13</f>
        <v>950669.627929539</v>
      </c>
      <c r="J24" s="29" t="n">
        <f aca="false">B24*Assumptions!$B$9/12</f>
        <v>63286.4502847192</v>
      </c>
      <c r="K24" s="29" t="n">
        <f aca="false">MAX(G24-J24,0)</f>
        <v>1306755.50578323</v>
      </c>
      <c r="L24" s="29" t="n">
        <f aca="false">AL23</f>
        <v>103665179.159643</v>
      </c>
      <c r="M24" s="29" t="n">
        <f aca="false">AM23</f>
        <v>38134224.2568</v>
      </c>
      <c r="N24" s="29" t="n">
        <f aca="false">AN23</f>
        <v>10088077.2668829</v>
      </c>
      <c r="O24" s="29" t="n">
        <f aca="false">AO23</f>
        <v>0</v>
      </c>
      <c r="P24" s="29" t="n">
        <f aca="false">L24*Assumptions!$C$27/12</f>
        <v>604713.545097918</v>
      </c>
      <c r="Q24" s="29" t="n">
        <f aca="false">M24*Assumptions!$C$28/12</f>
        <v>270117.421819</v>
      </c>
      <c r="R24" s="29" t="n">
        <f aca="false">N24*Assumptions!$C$29/12</f>
        <v>96677.4071409608</v>
      </c>
      <c r="S24" s="29" t="n">
        <f aca="false">MIN(P24,K24)</f>
        <v>604713.545097918</v>
      </c>
      <c r="T24" s="29" t="n">
        <f aca="false">MIN(Q24,K24-S24)</f>
        <v>270117.421819</v>
      </c>
      <c r="U24" s="29" t="n">
        <f aca="false">MIN(R24,K24-S24-T24)</f>
        <v>96677.4071409608</v>
      </c>
      <c r="V24" s="29" t="n">
        <f aca="false">K24-S24-T24-U24</f>
        <v>335247.131725346</v>
      </c>
      <c r="W24" s="29" t="n">
        <f aca="false">MIN(V24,I24)</f>
        <v>335247.131725346</v>
      </c>
      <c r="X24" s="29" t="n">
        <f aca="false">V24-W24</f>
        <v>0</v>
      </c>
      <c r="Y24" s="29" t="n">
        <f aca="false">MIN(O24,I24-W24)</f>
        <v>0</v>
      </c>
      <c r="Z24" s="29" t="n">
        <f aca="false">MIN(N24,I24-W24-Y24)</f>
        <v>615422.496204193</v>
      </c>
      <c r="AA24" s="29" t="n">
        <f aca="false">MIN(M24,I24-W24-Y24-Z24)</f>
        <v>0</v>
      </c>
      <c r="AB24" s="29" t="n">
        <f aca="false">MIN(L24,I24-W24-Y24-Z24-AA24)</f>
        <v>0</v>
      </c>
      <c r="AC24" s="29" t="n">
        <f aca="false">L24-AB24</f>
        <v>103665179.159643</v>
      </c>
      <c r="AD24" s="29" t="n">
        <f aca="false">N24-Z24</f>
        <v>9472654.77067867</v>
      </c>
      <c r="AE24" s="29" t="n">
        <f aca="false">M24-AA24</f>
        <v>38134224.2568</v>
      </c>
      <c r="AF24" s="29" t="n">
        <f aca="false">O24-Y24</f>
        <v>0</v>
      </c>
      <c r="AG24" s="29" t="n">
        <f aca="false">F24+E24+H24+W24</f>
        <v>7053337.07277193</v>
      </c>
      <c r="AH24" s="29" t="n">
        <f aca="false">MIN(AC24,AG24)</f>
        <v>7053337.07277193</v>
      </c>
      <c r="AI24" s="29" t="n">
        <f aca="false">MIN(AE24,AG24-AH24)</f>
        <v>0</v>
      </c>
      <c r="AJ24" s="29" t="n">
        <f aca="false">MIN(AD24,AG24-AH24-AI24)</f>
        <v>0</v>
      </c>
      <c r="AK24" s="29" t="n">
        <f aca="false">MIN(AF24,AG24-AH24-AI24-AJ24)</f>
        <v>0</v>
      </c>
      <c r="AL24" s="29" t="n">
        <f aca="false">AC24-AH24</f>
        <v>96611842.0868712</v>
      </c>
      <c r="AM24" s="29" t="n">
        <f aca="false">AE24-AI24</f>
        <v>38134224.2568</v>
      </c>
      <c r="AN24" s="29" t="n">
        <f aca="false">AD24-AJ24</f>
        <v>9472654.77067867</v>
      </c>
      <c r="AO24" s="29" t="n">
        <f aca="false">AF24-AK24</f>
        <v>0</v>
      </c>
      <c r="AP24" s="29" t="n">
        <f aca="false">D24-E24-F24</f>
        <v>144218721.11435</v>
      </c>
      <c r="AQ24" s="29" t="n">
        <f aca="false">SUM(AL24:AO24)-AP24</f>
        <v>0</v>
      </c>
      <c r="AR24" s="29" t="n">
        <f aca="false">SUMIFS(Python_Results!$C$2:$C$217,Python_Results!$A$2:$A$217,Assumptions!$B$10,Python_Results!$B$2:$B$217,A24)</f>
        <v>144218721.11</v>
      </c>
      <c r="AS24" s="29" t="n">
        <f aca="false">SUMIFS(Python_Results!$D$2:$D$217,Python_Results!$A$2:$A$217,Assumptions!$B$10,Python_Results!$B$2:$B$217,A24)</f>
        <v>96611842.09</v>
      </c>
      <c r="AT24" s="29" t="n">
        <f aca="false">SUMIFS(Python_Results!$E$2:$E$217,Python_Results!$A$2:$A$217,Assumptions!$B$10,Python_Results!$B$2:$B$217,A24)</f>
        <v>38134224.26</v>
      </c>
      <c r="AU24" s="29" t="n">
        <f aca="false">SUMIFS(Python_Results!$F$2:$F$217,Python_Results!$A$2:$A$217,Assumptions!$B$10,Python_Results!$B$2:$B$217,A24)</f>
        <v>9472654.77</v>
      </c>
      <c r="AV24" s="29" t="n">
        <f aca="false">SUMIFS(Python_Results!$G$2:$G$217,Python_Results!$A$2:$A$217,Assumptions!$B$10,Python_Results!$B$2:$B$217,A24)</f>
        <v>0</v>
      </c>
      <c r="AW24" s="29" t="n">
        <f aca="false">AP24-AR24</f>
        <v>0.00434985756874085</v>
      </c>
      <c r="AX24" s="29" t="n">
        <f aca="false">AL24-AS24</f>
        <v>-0.00312882661819458</v>
      </c>
      <c r="AY24" s="29" t="n">
        <f aca="false">AM24-AT24</f>
        <v>-0.00320000201463699</v>
      </c>
      <c r="AZ24" s="29" t="n">
        <f aca="false">AN24-AU24</f>
        <v>0.000678667798638344</v>
      </c>
      <c r="BA24" s="29" t="n">
        <f aca="false">AO24-AV24</f>
        <v>0</v>
      </c>
    </row>
    <row r="25" customFormat="false" ht="15" hidden="false" customHeight="false" outlineLevel="0" collapsed="false">
      <c r="A25" s="28" t="n">
        <v>19</v>
      </c>
      <c r="B25" s="29" t="n">
        <f aca="false">AP24</f>
        <v>144218721.11435</v>
      </c>
      <c r="C25" s="29" t="n">
        <f aca="false">B25*Assumptions!$B$14</f>
        <v>1598495.77578875</v>
      </c>
      <c r="D25" s="29" t="n">
        <f aca="false">B25-C25</f>
        <v>142620225.338561</v>
      </c>
      <c r="E25" s="29" t="n">
        <f aca="false">D25*Assumptions!$B$15</f>
        <v>638002.922469702</v>
      </c>
      <c r="F25" s="29" t="n">
        <f aca="false">(D25-E25)/MAX(Assumptions!$B$7-A25+1,1)</f>
        <v>5230938.60161802</v>
      </c>
      <c r="G25" s="29" t="n">
        <f aca="false">D25*Assumptions!$B$6/12</f>
        <v>1300868.89247358</v>
      </c>
      <c r="H25" s="29" t="n">
        <f aca="false">C25*(1-Assumptions!$B$13)</f>
        <v>695825.211200844</v>
      </c>
      <c r="I25" s="29" t="n">
        <f aca="false">C25*Assumptions!$B$13</f>
        <v>902670.564587909</v>
      </c>
      <c r="J25" s="29" t="n">
        <f aca="false">B25*Assumptions!$B$9/12</f>
        <v>60091.1337976458</v>
      </c>
      <c r="K25" s="29" t="n">
        <f aca="false">MAX(G25-J25,0)</f>
        <v>1240777.75867594</v>
      </c>
      <c r="L25" s="29" t="n">
        <f aca="false">AL24</f>
        <v>96611842.0868712</v>
      </c>
      <c r="M25" s="29" t="n">
        <f aca="false">AM24</f>
        <v>38134224.2568</v>
      </c>
      <c r="N25" s="29" t="n">
        <f aca="false">AN24</f>
        <v>9472654.77067867</v>
      </c>
      <c r="O25" s="29" t="n">
        <f aca="false">AO24</f>
        <v>0</v>
      </c>
      <c r="P25" s="29" t="n">
        <f aca="false">L25*Assumptions!$C$27/12</f>
        <v>563569.078840082</v>
      </c>
      <c r="Q25" s="29" t="n">
        <f aca="false">M25*Assumptions!$C$28/12</f>
        <v>270117.421819</v>
      </c>
      <c r="R25" s="29" t="n">
        <f aca="false">N25*Assumptions!$C$29/12</f>
        <v>90779.6082190039</v>
      </c>
      <c r="S25" s="29" t="n">
        <f aca="false">MIN(P25,K25)</f>
        <v>563569.078840082</v>
      </c>
      <c r="T25" s="29" t="n">
        <f aca="false">MIN(Q25,K25-S25)</f>
        <v>270117.421819</v>
      </c>
      <c r="U25" s="29" t="n">
        <f aca="false">MIN(R25,K25-S25-T25)</f>
        <v>90779.6082190039</v>
      </c>
      <c r="V25" s="29" t="n">
        <f aca="false">K25-S25-T25-U25</f>
        <v>316311.649797853</v>
      </c>
      <c r="W25" s="29" t="n">
        <f aca="false">MIN(V25,I25)</f>
        <v>316311.649797853</v>
      </c>
      <c r="X25" s="29" t="n">
        <f aca="false">V25-W25</f>
        <v>0</v>
      </c>
      <c r="Y25" s="29" t="n">
        <f aca="false">MIN(O25,I25-W25)</f>
        <v>0</v>
      </c>
      <c r="Z25" s="29" t="n">
        <f aca="false">MIN(N25,I25-W25-Y25)</f>
        <v>586358.914790056</v>
      </c>
      <c r="AA25" s="29" t="n">
        <f aca="false">MIN(M25,I25-W25-Y25-Z25)</f>
        <v>0</v>
      </c>
      <c r="AB25" s="29" t="n">
        <f aca="false">MIN(L25,I25-W25-Y25-Z25-AA25)</f>
        <v>0</v>
      </c>
      <c r="AC25" s="29" t="n">
        <f aca="false">L25-AB25</f>
        <v>96611842.0868712</v>
      </c>
      <c r="AD25" s="29" t="n">
        <f aca="false">N25-Z25</f>
        <v>8886295.85588861</v>
      </c>
      <c r="AE25" s="29" t="n">
        <f aca="false">M25-AA25</f>
        <v>38134224.2568</v>
      </c>
      <c r="AF25" s="29" t="n">
        <f aca="false">O25-Y25</f>
        <v>0</v>
      </c>
      <c r="AG25" s="29" t="n">
        <f aca="false">F25+E25+H25+W25</f>
        <v>6881078.38508642</v>
      </c>
      <c r="AH25" s="29" t="n">
        <f aca="false">MIN(AC25,AG25)</f>
        <v>6881078.38508642</v>
      </c>
      <c r="AI25" s="29" t="n">
        <f aca="false">MIN(AE25,AG25-AH25)</f>
        <v>0</v>
      </c>
      <c r="AJ25" s="29" t="n">
        <f aca="false">MIN(AD25,AG25-AH25-AI25)</f>
        <v>0</v>
      </c>
      <c r="AK25" s="29" t="n">
        <f aca="false">MIN(AF25,AG25-AH25-AI25-AJ25)</f>
        <v>0</v>
      </c>
      <c r="AL25" s="29" t="n">
        <f aca="false">AC25-AH25</f>
        <v>89730763.7017848</v>
      </c>
      <c r="AM25" s="29" t="n">
        <f aca="false">AE25-AI25</f>
        <v>38134224.2568</v>
      </c>
      <c r="AN25" s="29" t="n">
        <f aca="false">AD25-AJ25</f>
        <v>8886295.85588861</v>
      </c>
      <c r="AO25" s="29" t="n">
        <f aca="false">AF25-AK25</f>
        <v>0</v>
      </c>
      <c r="AP25" s="29" t="n">
        <f aca="false">D25-E25-F25</f>
        <v>136751283.814473</v>
      </c>
      <c r="AQ25" s="29" t="n">
        <f aca="false">SUM(AL25:AO25)-AP25</f>
        <v>0</v>
      </c>
      <c r="AR25" s="29" t="n">
        <f aca="false">SUMIFS(Python_Results!$C$2:$C$217,Python_Results!$A$2:$A$217,Assumptions!$B$10,Python_Results!$B$2:$B$217,A25)</f>
        <v>136751283.81</v>
      </c>
      <c r="AS25" s="29" t="n">
        <f aca="false">SUMIFS(Python_Results!$D$2:$D$217,Python_Results!$A$2:$A$217,Assumptions!$B$10,Python_Results!$B$2:$B$217,A25)</f>
        <v>89730763.7</v>
      </c>
      <c r="AT25" s="29" t="n">
        <f aca="false">SUMIFS(Python_Results!$E$2:$E$217,Python_Results!$A$2:$A$217,Assumptions!$B$10,Python_Results!$B$2:$B$217,A25)</f>
        <v>38134224.26</v>
      </c>
      <c r="AU25" s="29" t="n">
        <f aca="false">SUMIFS(Python_Results!$F$2:$F$217,Python_Results!$A$2:$A$217,Assumptions!$B$10,Python_Results!$B$2:$B$217,A25)</f>
        <v>8886295.86</v>
      </c>
      <c r="AV25" s="29" t="n">
        <f aca="false">SUMIFS(Python_Results!$G$2:$G$217,Python_Results!$A$2:$A$217,Assumptions!$B$10,Python_Results!$B$2:$B$217,A25)</f>
        <v>0</v>
      </c>
      <c r="AW25" s="29" t="n">
        <f aca="false">AP25-AR25</f>
        <v>0.00447338819503784</v>
      </c>
      <c r="AX25" s="29" t="n">
        <f aca="false">AL25-AS25</f>
        <v>0.00178475677967072</v>
      </c>
      <c r="AY25" s="29" t="n">
        <f aca="false">AM25-AT25</f>
        <v>-0.00320000201463699</v>
      </c>
      <c r="AZ25" s="29" t="n">
        <f aca="false">AN25-AU25</f>
        <v>-0.00411138869822025</v>
      </c>
      <c r="BA25" s="29" t="n">
        <f aca="false">AO25-AV25</f>
        <v>0</v>
      </c>
    </row>
    <row r="26" customFormat="false" ht="15" hidden="false" customHeight="false" outlineLevel="0" collapsed="false">
      <c r="A26" s="28" t="n">
        <v>20</v>
      </c>
      <c r="B26" s="29" t="n">
        <f aca="false">AP25</f>
        <v>136751283.814473</v>
      </c>
      <c r="C26" s="29" t="n">
        <f aca="false">B26*Assumptions!$B$14</f>
        <v>1515727.97083536</v>
      </c>
      <c r="D26" s="29" t="n">
        <f aca="false">B26-C26</f>
        <v>135235555.843638</v>
      </c>
      <c r="E26" s="29" t="n">
        <f aca="false">D26*Assumptions!$B$15</f>
        <v>604968.05165773</v>
      </c>
      <c r="F26" s="29" t="n">
        <f aca="false">(D26-E26)/MAX(Assumptions!$B$7-A26+1,1)</f>
        <v>5149818.84627147</v>
      </c>
      <c r="G26" s="29" t="n">
        <f aca="false">D26*Assumptions!$B$6/12</f>
        <v>1233511.77812084</v>
      </c>
      <c r="H26" s="29" t="n">
        <f aca="false">C26*(1-Assumptions!$B$13)</f>
        <v>659796.385704633</v>
      </c>
      <c r="I26" s="29" t="n">
        <f aca="false">C26*Assumptions!$B$13</f>
        <v>855931.585130729</v>
      </c>
      <c r="J26" s="29" t="n">
        <f aca="false">B26*Assumptions!$B$9/12</f>
        <v>56979.7015893639</v>
      </c>
      <c r="K26" s="29" t="n">
        <f aca="false">MAX(G26-J26,0)</f>
        <v>1176532.07653147</v>
      </c>
      <c r="L26" s="29" t="n">
        <f aca="false">AL25</f>
        <v>89730763.7017848</v>
      </c>
      <c r="M26" s="29" t="n">
        <f aca="false">AM25</f>
        <v>38134224.2568</v>
      </c>
      <c r="N26" s="29" t="n">
        <f aca="false">AN25</f>
        <v>8886295.85588861</v>
      </c>
      <c r="O26" s="29" t="n">
        <f aca="false">AO25</f>
        <v>0</v>
      </c>
      <c r="P26" s="29" t="n">
        <f aca="false">L26*Assumptions!$C$27/12</f>
        <v>523429.454927078</v>
      </c>
      <c r="Q26" s="29" t="n">
        <f aca="false">M26*Assumptions!$C$28/12</f>
        <v>270117.421819</v>
      </c>
      <c r="R26" s="29" t="n">
        <f aca="false">N26*Assumptions!$C$29/12</f>
        <v>85160.3352855992</v>
      </c>
      <c r="S26" s="29" t="n">
        <f aca="false">MIN(P26,K26)</f>
        <v>523429.454927078</v>
      </c>
      <c r="T26" s="29" t="n">
        <f aca="false">MIN(Q26,K26-S26)</f>
        <v>270117.421819</v>
      </c>
      <c r="U26" s="29" t="n">
        <f aca="false">MIN(R26,K26-S26-T26)</f>
        <v>85160.3352855992</v>
      </c>
      <c r="V26" s="29" t="n">
        <f aca="false">K26-S26-T26-U26</f>
        <v>297824.864499796</v>
      </c>
      <c r="W26" s="29" t="n">
        <f aca="false">MIN(V26,I26)</f>
        <v>297824.864499796</v>
      </c>
      <c r="X26" s="29" t="n">
        <f aca="false">V26-W26</f>
        <v>0</v>
      </c>
      <c r="Y26" s="29" t="n">
        <f aca="false">MIN(O26,I26-W26)</f>
        <v>0</v>
      </c>
      <c r="Z26" s="29" t="n">
        <f aca="false">MIN(N26,I26-W26-Y26)</f>
        <v>558106.720630933</v>
      </c>
      <c r="AA26" s="29" t="n">
        <f aca="false">MIN(M26,I26-W26-Y26-Z26)</f>
        <v>0</v>
      </c>
      <c r="AB26" s="29" t="n">
        <f aca="false">MIN(L26,I26-W26-Y26-Z26-AA26)</f>
        <v>0</v>
      </c>
      <c r="AC26" s="29" t="n">
        <f aca="false">L26-AB26</f>
        <v>89730763.7017848</v>
      </c>
      <c r="AD26" s="29" t="n">
        <f aca="false">N26-Z26</f>
        <v>8328189.13525768</v>
      </c>
      <c r="AE26" s="29" t="n">
        <f aca="false">M26-AA26</f>
        <v>38134224.2568</v>
      </c>
      <c r="AF26" s="29" t="n">
        <f aca="false">O26-Y26</f>
        <v>0</v>
      </c>
      <c r="AG26" s="29" t="n">
        <f aca="false">F26+E26+H26+W26</f>
        <v>6712408.14813362</v>
      </c>
      <c r="AH26" s="29" t="n">
        <f aca="false">MIN(AC26,AG26)</f>
        <v>6712408.14813362</v>
      </c>
      <c r="AI26" s="29" t="n">
        <f aca="false">MIN(AE26,AG26-AH26)</f>
        <v>0</v>
      </c>
      <c r="AJ26" s="29" t="n">
        <f aca="false">MIN(AD26,AG26-AH26-AI26)</f>
        <v>0</v>
      </c>
      <c r="AK26" s="29" t="n">
        <f aca="false">MIN(AF26,AG26-AH26-AI26-AJ26)</f>
        <v>0</v>
      </c>
      <c r="AL26" s="29" t="n">
        <f aca="false">AC26-AH26</f>
        <v>83018355.5536511</v>
      </c>
      <c r="AM26" s="29" t="n">
        <f aca="false">AE26-AI26</f>
        <v>38134224.2568</v>
      </c>
      <c r="AN26" s="29" t="n">
        <f aca="false">AD26-AJ26</f>
        <v>8328189.13525768</v>
      </c>
      <c r="AO26" s="29" t="n">
        <f aca="false">AF26-AK26</f>
        <v>0</v>
      </c>
      <c r="AP26" s="29" t="n">
        <f aca="false">D26-E26-F26</f>
        <v>129480768.945709</v>
      </c>
      <c r="AQ26" s="29" t="n">
        <f aca="false">SUM(AL26:AO26)-AP26</f>
        <v>0</v>
      </c>
      <c r="AR26" s="29" t="n">
        <f aca="false">SUMIFS(Python_Results!$C$2:$C$217,Python_Results!$A$2:$A$217,Assumptions!$B$10,Python_Results!$B$2:$B$217,A26)</f>
        <v>129480768.95</v>
      </c>
      <c r="AS26" s="29" t="n">
        <f aca="false">SUMIFS(Python_Results!$D$2:$D$217,Python_Results!$A$2:$A$217,Assumptions!$B$10,Python_Results!$B$2:$B$217,A26)</f>
        <v>83018355.55</v>
      </c>
      <c r="AT26" s="29" t="n">
        <f aca="false">SUMIFS(Python_Results!$E$2:$E$217,Python_Results!$A$2:$A$217,Assumptions!$B$10,Python_Results!$B$2:$B$217,A26)</f>
        <v>38134224.26</v>
      </c>
      <c r="AU26" s="29" t="n">
        <f aca="false">SUMIFS(Python_Results!$F$2:$F$217,Python_Results!$A$2:$A$217,Assumptions!$B$10,Python_Results!$B$2:$B$217,A26)</f>
        <v>8328189.14</v>
      </c>
      <c r="AV26" s="29" t="n">
        <f aca="false">SUMIFS(Python_Results!$G$2:$G$217,Python_Results!$A$2:$A$217,Assumptions!$B$10,Python_Results!$B$2:$B$217,A26)</f>
        <v>0</v>
      </c>
      <c r="AW26" s="29" t="n">
        <f aca="false">AP26-AR26</f>
        <v>-0.00429117679595947</v>
      </c>
      <c r="AX26" s="29" t="n">
        <f aca="false">AL26-AS26</f>
        <v>0.00365114212036133</v>
      </c>
      <c r="AY26" s="29" t="n">
        <f aca="false">AM26-AT26</f>
        <v>-0.00320000201463699</v>
      </c>
      <c r="AZ26" s="29" t="n">
        <f aca="false">AN26-AU26</f>
        <v>-0.00474232155829668</v>
      </c>
      <c r="BA26" s="29" t="n">
        <f aca="false">AO26-AV26</f>
        <v>0</v>
      </c>
    </row>
    <row r="27" customFormat="false" ht="15" hidden="false" customHeight="false" outlineLevel="0" collapsed="false">
      <c r="A27" s="28" t="n">
        <v>21</v>
      </c>
      <c r="B27" s="29" t="n">
        <f aca="false">AP26</f>
        <v>129480768.945709</v>
      </c>
      <c r="C27" s="29" t="n">
        <f aca="false">B27*Assumptions!$B$14</f>
        <v>1435142.82061541</v>
      </c>
      <c r="D27" s="29" t="n">
        <f aca="false">B27-C27</f>
        <v>128045626.125093</v>
      </c>
      <c r="E27" s="29" t="n">
        <f aca="false">D27*Assumptions!$B$15</f>
        <v>572804.337416683</v>
      </c>
      <c r="F27" s="29" t="n">
        <f aca="false">(D27-E27)/MAX(Assumptions!$B$7-A27+1,1)</f>
        <v>5069957.07065066</v>
      </c>
      <c r="G27" s="29" t="n">
        <f aca="false">D27*Assumptions!$B$6/12</f>
        <v>1167930.92598207</v>
      </c>
      <c r="H27" s="29" t="n">
        <f aca="false">C27*(1-Assumptions!$B$13)</f>
        <v>624717.669813887</v>
      </c>
      <c r="I27" s="29" t="n">
        <f aca="false">C27*Assumptions!$B$13</f>
        <v>810425.150801521</v>
      </c>
      <c r="J27" s="29" t="n">
        <f aca="false">B27*Assumptions!$B$9/12</f>
        <v>53950.3203940453</v>
      </c>
      <c r="K27" s="29" t="n">
        <f aca="false">MAX(G27-J27,0)</f>
        <v>1113980.60558802</v>
      </c>
      <c r="L27" s="29" t="n">
        <f aca="false">AL26</f>
        <v>83018355.5536511</v>
      </c>
      <c r="M27" s="29" t="n">
        <f aca="false">AM26</f>
        <v>38134224.2568</v>
      </c>
      <c r="N27" s="29" t="n">
        <f aca="false">AN26</f>
        <v>8328189.13525768</v>
      </c>
      <c r="O27" s="29" t="n">
        <f aca="false">AO26</f>
        <v>0</v>
      </c>
      <c r="P27" s="29" t="n">
        <f aca="false">L27*Assumptions!$C$27/12</f>
        <v>484273.740729632</v>
      </c>
      <c r="Q27" s="29" t="n">
        <f aca="false">M27*Assumptions!$C$28/12</f>
        <v>270117.421819</v>
      </c>
      <c r="R27" s="29" t="n">
        <f aca="false">N27*Assumptions!$C$29/12</f>
        <v>79811.8125462194</v>
      </c>
      <c r="S27" s="29" t="n">
        <f aca="false">MIN(P27,K27)</f>
        <v>484273.740729632</v>
      </c>
      <c r="T27" s="29" t="n">
        <f aca="false">MIN(Q27,K27-S27)</f>
        <v>270117.421819</v>
      </c>
      <c r="U27" s="29" t="n">
        <f aca="false">MIN(R27,K27-S27-T27)</f>
        <v>79811.8125462194</v>
      </c>
      <c r="V27" s="29" t="n">
        <f aca="false">K27-S27-T27-U27</f>
        <v>279777.630493172</v>
      </c>
      <c r="W27" s="29" t="n">
        <f aca="false">MIN(V27,I27)</f>
        <v>279777.630493172</v>
      </c>
      <c r="X27" s="29" t="n">
        <f aca="false">V27-W27</f>
        <v>0</v>
      </c>
      <c r="Y27" s="29" t="n">
        <f aca="false">MIN(O27,I27-W27)</f>
        <v>0</v>
      </c>
      <c r="Z27" s="29" t="n">
        <f aca="false">MIN(N27,I27-W27-Y27)</f>
        <v>530647.520308349</v>
      </c>
      <c r="AA27" s="29" t="n">
        <f aca="false">MIN(M27,I27-W27-Y27-Z27)</f>
        <v>0</v>
      </c>
      <c r="AB27" s="29" t="n">
        <f aca="false">MIN(L27,I27-W27-Y27-Z27-AA27)</f>
        <v>0</v>
      </c>
      <c r="AC27" s="29" t="n">
        <f aca="false">L27-AB27</f>
        <v>83018355.5536511</v>
      </c>
      <c r="AD27" s="29" t="n">
        <f aca="false">N27-Z27</f>
        <v>7797541.61494933</v>
      </c>
      <c r="AE27" s="29" t="n">
        <f aca="false">M27-AA27</f>
        <v>38134224.2568</v>
      </c>
      <c r="AF27" s="29" t="n">
        <f aca="false">O27-Y27</f>
        <v>0</v>
      </c>
      <c r="AG27" s="29" t="n">
        <f aca="false">F27+E27+H27+W27</f>
        <v>6547256.70837441</v>
      </c>
      <c r="AH27" s="29" t="n">
        <f aca="false">MIN(AC27,AG27)</f>
        <v>6547256.70837441</v>
      </c>
      <c r="AI27" s="29" t="n">
        <f aca="false">MIN(AE27,AG27-AH27)</f>
        <v>0</v>
      </c>
      <c r="AJ27" s="29" t="n">
        <f aca="false">MIN(AD27,AG27-AH27-AI27)</f>
        <v>0</v>
      </c>
      <c r="AK27" s="29" t="n">
        <f aca="false">MIN(AF27,AG27-AH27-AI27-AJ27)</f>
        <v>0</v>
      </c>
      <c r="AL27" s="29" t="n">
        <f aca="false">AC27-AH27</f>
        <v>76471098.8452767</v>
      </c>
      <c r="AM27" s="29" t="n">
        <f aca="false">AE27-AI27</f>
        <v>38134224.2568</v>
      </c>
      <c r="AN27" s="29" t="n">
        <f aca="false">AD27-AJ27</f>
        <v>7797541.61494933</v>
      </c>
      <c r="AO27" s="29" t="n">
        <f aca="false">AF27-AK27</f>
        <v>0</v>
      </c>
      <c r="AP27" s="29" t="n">
        <f aca="false">D27-E27-F27</f>
        <v>122402864.717026</v>
      </c>
      <c r="AQ27" s="29" t="n">
        <f aca="false">SUM(AL27:AO27)-AP27</f>
        <v>0</v>
      </c>
      <c r="AR27" s="29" t="n">
        <f aca="false">SUMIFS(Python_Results!$C$2:$C$217,Python_Results!$A$2:$A$217,Assumptions!$B$10,Python_Results!$B$2:$B$217,A27)</f>
        <v>122402864.72</v>
      </c>
      <c r="AS27" s="29" t="n">
        <f aca="false">SUMIFS(Python_Results!$D$2:$D$217,Python_Results!$A$2:$A$217,Assumptions!$B$10,Python_Results!$B$2:$B$217,A27)</f>
        <v>76471098.85</v>
      </c>
      <c r="AT27" s="29" t="n">
        <f aca="false">SUMIFS(Python_Results!$E$2:$E$217,Python_Results!$A$2:$A$217,Assumptions!$B$10,Python_Results!$B$2:$B$217,A27)</f>
        <v>38134224.26</v>
      </c>
      <c r="AU27" s="29" t="n">
        <f aca="false">SUMIFS(Python_Results!$F$2:$F$217,Python_Results!$A$2:$A$217,Assumptions!$B$10,Python_Results!$B$2:$B$217,A27)</f>
        <v>7797541.61</v>
      </c>
      <c r="AV27" s="29" t="n">
        <f aca="false">SUMIFS(Python_Results!$G$2:$G$217,Python_Results!$A$2:$A$217,Assumptions!$B$10,Python_Results!$B$2:$B$217,A27)</f>
        <v>0</v>
      </c>
      <c r="AW27" s="29" t="n">
        <f aca="false">AP27-AR27</f>
        <v>-0.00297392904758453</v>
      </c>
      <c r="AX27" s="29" t="n">
        <f aca="false">AL27-AS27</f>
        <v>-0.00472326576709747</v>
      </c>
      <c r="AY27" s="29" t="n">
        <f aca="false">AM27-AT27</f>
        <v>-0.00320000201463699</v>
      </c>
      <c r="AZ27" s="29" t="n">
        <f aca="false">AN27-AU27</f>
        <v>0.00494932848960161</v>
      </c>
      <c r="BA27" s="29" t="n">
        <f aca="false">AO27-AV27</f>
        <v>0</v>
      </c>
    </row>
    <row r="28" customFormat="false" ht="15" hidden="false" customHeight="false" outlineLevel="0" collapsed="false">
      <c r="A28" s="28" t="n">
        <v>22</v>
      </c>
      <c r="B28" s="29" t="n">
        <f aca="false">AP27</f>
        <v>122402864.717026</v>
      </c>
      <c r="C28" s="29" t="n">
        <f aca="false">B28*Assumptions!$B$14</f>
        <v>1356692.53397047</v>
      </c>
      <c r="D28" s="29" t="n">
        <f aca="false">B28-C28</f>
        <v>121046172.183056</v>
      </c>
      <c r="E28" s="29" t="n">
        <f aca="false">D28*Assumptions!$B$15</f>
        <v>541492.705001916</v>
      </c>
      <c r="F28" s="29" t="n">
        <f aca="false">(D28-E28)/MAX(Assumptions!$B$7-A28+1,1)</f>
        <v>4991333.76640055</v>
      </c>
      <c r="G28" s="29" t="n">
        <f aca="false">D28*Assumptions!$B$6/12</f>
        <v>1104087.44322299</v>
      </c>
      <c r="H28" s="29" t="n">
        <f aca="false">C28*(1-Assumptions!$B$13)</f>
        <v>590568.260037347</v>
      </c>
      <c r="I28" s="29" t="n">
        <f aca="false">C28*Assumptions!$B$13</f>
        <v>766124.273933126</v>
      </c>
      <c r="J28" s="29" t="n">
        <f aca="false">B28*Assumptions!$B$9/12</f>
        <v>51001.1936320942</v>
      </c>
      <c r="K28" s="29" t="n">
        <f aca="false">MAX(G28-J28,0)</f>
        <v>1053086.24959089</v>
      </c>
      <c r="L28" s="29" t="n">
        <f aca="false">AL27</f>
        <v>76471098.8452767</v>
      </c>
      <c r="M28" s="29" t="n">
        <f aca="false">AM27</f>
        <v>38134224.2568</v>
      </c>
      <c r="N28" s="29" t="n">
        <f aca="false">AN27</f>
        <v>7797541.61494933</v>
      </c>
      <c r="O28" s="29" t="n">
        <f aca="false">AO27</f>
        <v>0</v>
      </c>
      <c r="P28" s="29" t="n">
        <f aca="false">L28*Assumptions!$C$27/12</f>
        <v>446081.409930781</v>
      </c>
      <c r="Q28" s="29" t="n">
        <f aca="false">M28*Assumptions!$C$28/12</f>
        <v>270117.421819</v>
      </c>
      <c r="R28" s="29" t="n">
        <f aca="false">N28*Assumptions!$C$29/12</f>
        <v>74726.4404765977</v>
      </c>
      <c r="S28" s="29" t="n">
        <f aca="false">MIN(P28,K28)</f>
        <v>446081.409930781</v>
      </c>
      <c r="T28" s="29" t="n">
        <f aca="false">MIN(Q28,K28-S28)</f>
        <v>270117.421819</v>
      </c>
      <c r="U28" s="29" t="n">
        <f aca="false">MIN(R28,K28-S28-T28)</f>
        <v>74726.4404765977</v>
      </c>
      <c r="V28" s="29" t="n">
        <f aca="false">K28-S28-T28-U28</f>
        <v>262160.977364515</v>
      </c>
      <c r="W28" s="29" t="n">
        <f aca="false">MIN(V28,I28)</f>
        <v>262160.977364515</v>
      </c>
      <c r="X28" s="29" t="n">
        <f aca="false">V28-W28</f>
        <v>0</v>
      </c>
      <c r="Y28" s="29" t="n">
        <f aca="false">MIN(O28,I28-W28)</f>
        <v>0</v>
      </c>
      <c r="Z28" s="29" t="n">
        <f aca="false">MIN(N28,I28-W28-Y28)</f>
        <v>503963.296568611</v>
      </c>
      <c r="AA28" s="29" t="n">
        <f aca="false">MIN(M28,I28-W28-Y28-Z28)</f>
        <v>0</v>
      </c>
      <c r="AB28" s="29" t="n">
        <f aca="false">MIN(L28,I28-W28-Y28-Z28-AA28)</f>
        <v>0</v>
      </c>
      <c r="AC28" s="29" t="n">
        <f aca="false">L28-AB28</f>
        <v>76471098.8452767</v>
      </c>
      <c r="AD28" s="29" t="n">
        <f aca="false">N28-Z28</f>
        <v>7293578.31838072</v>
      </c>
      <c r="AE28" s="29" t="n">
        <f aca="false">M28-AA28</f>
        <v>38134224.2568</v>
      </c>
      <c r="AF28" s="29" t="n">
        <f aca="false">O28-Y28</f>
        <v>0</v>
      </c>
      <c r="AG28" s="29" t="n">
        <f aca="false">F28+E28+H28+W28</f>
        <v>6385555.70880432</v>
      </c>
      <c r="AH28" s="29" t="n">
        <f aca="false">MIN(AC28,AG28)</f>
        <v>6385555.70880432</v>
      </c>
      <c r="AI28" s="29" t="n">
        <f aca="false">MIN(AE28,AG28-AH28)</f>
        <v>0</v>
      </c>
      <c r="AJ28" s="29" t="n">
        <f aca="false">MIN(AD28,AG28-AH28-AI28)</f>
        <v>0</v>
      </c>
      <c r="AK28" s="29" t="n">
        <f aca="false">MIN(AF28,AG28-AH28-AI28-AJ28)</f>
        <v>0</v>
      </c>
      <c r="AL28" s="29" t="n">
        <f aca="false">AC28-AH28</f>
        <v>70085543.1364724</v>
      </c>
      <c r="AM28" s="29" t="n">
        <f aca="false">AE28-AI28</f>
        <v>38134224.2568</v>
      </c>
      <c r="AN28" s="29" t="n">
        <f aca="false">AD28-AJ28</f>
        <v>7293578.31838072</v>
      </c>
      <c r="AO28" s="29" t="n">
        <f aca="false">AF28-AK28</f>
        <v>0</v>
      </c>
      <c r="AP28" s="29" t="n">
        <f aca="false">D28-E28-F28</f>
        <v>115513345.711653</v>
      </c>
      <c r="AQ28" s="29" t="n">
        <f aca="false">SUM(AL28:AO28)-AP28</f>
        <v>0</v>
      </c>
      <c r="AR28" s="29" t="n">
        <f aca="false">SUMIFS(Python_Results!$C$2:$C$217,Python_Results!$A$2:$A$217,Assumptions!$B$10,Python_Results!$B$2:$B$217,A28)</f>
        <v>115513345.71</v>
      </c>
      <c r="AS28" s="29" t="n">
        <f aca="false">SUMIFS(Python_Results!$D$2:$D$217,Python_Results!$A$2:$A$217,Assumptions!$B$10,Python_Results!$B$2:$B$217,A28)</f>
        <v>70085543.14</v>
      </c>
      <c r="AT28" s="29" t="n">
        <f aca="false">SUMIFS(Python_Results!$E$2:$E$217,Python_Results!$A$2:$A$217,Assumptions!$B$10,Python_Results!$B$2:$B$217,A28)</f>
        <v>38134224.26</v>
      </c>
      <c r="AU28" s="29" t="n">
        <f aca="false">SUMIFS(Python_Results!$F$2:$F$217,Python_Results!$A$2:$A$217,Assumptions!$B$10,Python_Results!$B$2:$B$217,A28)</f>
        <v>7293578.32</v>
      </c>
      <c r="AV28" s="29" t="n">
        <f aca="false">SUMIFS(Python_Results!$G$2:$G$217,Python_Results!$A$2:$A$217,Assumptions!$B$10,Python_Results!$B$2:$B$217,A28)</f>
        <v>0</v>
      </c>
      <c r="AW28" s="29" t="n">
        <f aca="false">AP28-AR28</f>
        <v>0.00165313482284546</v>
      </c>
      <c r="AX28" s="29" t="n">
        <f aca="false">AL28-AS28</f>
        <v>-0.00352759659290314</v>
      </c>
      <c r="AY28" s="29" t="n">
        <f aca="false">AM28-AT28</f>
        <v>-0.00320000201463699</v>
      </c>
      <c r="AZ28" s="29" t="n">
        <f aca="false">AN28-AU28</f>
        <v>-0.00161928310990334</v>
      </c>
      <c r="BA28" s="29" t="n">
        <f aca="false">AO28-AV28</f>
        <v>0</v>
      </c>
    </row>
    <row r="29" customFormat="false" ht="15" hidden="false" customHeight="false" outlineLevel="0" collapsed="false">
      <c r="A29" s="28" t="n">
        <v>23</v>
      </c>
      <c r="B29" s="29" t="n">
        <f aca="false">AP28</f>
        <v>115513345.711653</v>
      </c>
      <c r="C29" s="29" t="n">
        <f aca="false">B29*Assumptions!$B$14</f>
        <v>1280330.27709972</v>
      </c>
      <c r="D29" s="29" t="n">
        <f aca="false">B29-C29</f>
        <v>114233015.434553</v>
      </c>
      <c r="E29" s="29" t="n">
        <f aca="false">D29*Assumptions!$B$15</f>
        <v>511014.461776105</v>
      </c>
      <c r="F29" s="29" t="n">
        <f aca="false">(D29-E29)/MAX(Assumptions!$B$7-A29+1,1)</f>
        <v>4913929.72769549</v>
      </c>
      <c r="G29" s="29" t="n">
        <f aca="false">D29*Assumptions!$B$6/12</f>
        <v>1041943.21611471</v>
      </c>
      <c r="H29" s="29" t="n">
        <f aca="false">C29*(1-Assumptions!$B$13)</f>
        <v>557327.76962151</v>
      </c>
      <c r="I29" s="29" t="n">
        <f aca="false">C29*Assumptions!$B$13</f>
        <v>723002.507478214</v>
      </c>
      <c r="J29" s="29" t="n">
        <f aca="false">B29*Assumptions!$B$9/12</f>
        <v>48130.5607131888</v>
      </c>
      <c r="K29" s="29" t="n">
        <f aca="false">MAX(G29-J29,0)</f>
        <v>993812.655401524</v>
      </c>
      <c r="L29" s="29" t="n">
        <f aca="false">AL28</f>
        <v>70085543.1364724</v>
      </c>
      <c r="M29" s="29" t="n">
        <f aca="false">AM28</f>
        <v>38134224.2568</v>
      </c>
      <c r="N29" s="29" t="n">
        <f aca="false">AN28</f>
        <v>7293578.31838072</v>
      </c>
      <c r="O29" s="29" t="n">
        <f aca="false">AO28</f>
        <v>0</v>
      </c>
      <c r="P29" s="29" t="n">
        <f aca="false">L29*Assumptions!$C$27/12</f>
        <v>408832.334962756</v>
      </c>
      <c r="Q29" s="29" t="n">
        <f aca="false">M29*Assumptions!$C$28/12</f>
        <v>270117.421819</v>
      </c>
      <c r="R29" s="29" t="n">
        <f aca="false">N29*Assumptions!$C$29/12</f>
        <v>69896.7922178152</v>
      </c>
      <c r="S29" s="29" t="n">
        <f aca="false">MIN(P29,K29)</f>
        <v>408832.334962756</v>
      </c>
      <c r="T29" s="29" t="n">
        <f aca="false">MIN(Q29,K29-S29)</f>
        <v>270117.421819</v>
      </c>
      <c r="U29" s="29" t="n">
        <f aca="false">MIN(R29,K29-S29-T29)</f>
        <v>69896.7922178152</v>
      </c>
      <c r="V29" s="29" t="n">
        <f aca="false">K29-S29-T29-U29</f>
        <v>244966.106401953</v>
      </c>
      <c r="W29" s="29" t="n">
        <f aca="false">MIN(V29,I29)</f>
        <v>244966.106401953</v>
      </c>
      <c r="X29" s="29" t="n">
        <f aca="false">V29-W29</f>
        <v>0</v>
      </c>
      <c r="Y29" s="29" t="n">
        <f aca="false">MIN(O29,I29-W29)</f>
        <v>0</v>
      </c>
      <c r="Z29" s="29" t="n">
        <f aca="false">MIN(N29,I29-W29-Y29)</f>
        <v>478036.401076261</v>
      </c>
      <c r="AA29" s="29" t="n">
        <f aca="false">MIN(M29,I29-W29-Y29-Z29)</f>
        <v>0</v>
      </c>
      <c r="AB29" s="29" t="n">
        <f aca="false">MIN(L29,I29-W29-Y29-Z29-AA29)</f>
        <v>0</v>
      </c>
      <c r="AC29" s="29" t="n">
        <f aca="false">L29-AB29</f>
        <v>70085543.1364724</v>
      </c>
      <c r="AD29" s="29" t="n">
        <f aca="false">N29-Z29</f>
        <v>6815541.91730446</v>
      </c>
      <c r="AE29" s="29" t="n">
        <f aca="false">M29-AA29</f>
        <v>38134224.2568</v>
      </c>
      <c r="AF29" s="29" t="n">
        <f aca="false">O29-Y29</f>
        <v>0</v>
      </c>
      <c r="AG29" s="29" t="n">
        <f aca="false">F29+E29+H29+W29</f>
        <v>6227238.06549506</v>
      </c>
      <c r="AH29" s="29" t="n">
        <f aca="false">MIN(AC29,AG29)</f>
        <v>6227238.06549506</v>
      </c>
      <c r="AI29" s="29" t="n">
        <f aca="false">MIN(AE29,AG29-AH29)</f>
        <v>0</v>
      </c>
      <c r="AJ29" s="29" t="n">
        <f aca="false">MIN(AD29,AG29-AH29-AI29)</f>
        <v>0</v>
      </c>
      <c r="AK29" s="29" t="n">
        <f aca="false">MIN(AF29,AG29-AH29-AI29-AJ29)</f>
        <v>0</v>
      </c>
      <c r="AL29" s="29" t="n">
        <f aca="false">AC29-AH29</f>
        <v>63858305.0709773</v>
      </c>
      <c r="AM29" s="29" t="n">
        <f aca="false">AE29-AI29</f>
        <v>38134224.2568</v>
      </c>
      <c r="AN29" s="29" t="n">
        <f aca="false">AD29-AJ29</f>
        <v>6815541.91730446</v>
      </c>
      <c r="AO29" s="29" t="n">
        <f aca="false">AF29-AK29</f>
        <v>0</v>
      </c>
      <c r="AP29" s="29" t="n">
        <f aca="false">D29-E29-F29</f>
        <v>108808071.245082</v>
      </c>
      <c r="AQ29" s="29" t="n">
        <f aca="false">SUM(AL29:AO29)-AP29</f>
        <v>0</v>
      </c>
      <c r="AR29" s="29" t="n">
        <f aca="false">SUMIFS(Python_Results!$C$2:$C$217,Python_Results!$A$2:$A$217,Assumptions!$B$10,Python_Results!$B$2:$B$217,A29)</f>
        <v>108808071.25</v>
      </c>
      <c r="AS29" s="29" t="n">
        <f aca="false">SUMIFS(Python_Results!$D$2:$D$217,Python_Results!$A$2:$A$217,Assumptions!$B$10,Python_Results!$B$2:$B$217,A29)</f>
        <v>63858305.07</v>
      </c>
      <c r="AT29" s="29" t="n">
        <f aca="false">SUMIFS(Python_Results!$E$2:$E$217,Python_Results!$A$2:$A$217,Assumptions!$B$10,Python_Results!$B$2:$B$217,A29)</f>
        <v>38134224.26</v>
      </c>
      <c r="AU29" s="29" t="n">
        <f aca="false">SUMIFS(Python_Results!$F$2:$F$217,Python_Results!$A$2:$A$217,Assumptions!$B$10,Python_Results!$B$2:$B$217,A29)</f>
        <v>6815541.92</v>
      </c>
      <c r="AV29" s="29" t="n">
        <f aca="false">SUMIFS(Python_Results!$G$2:$G$217,Python_Results!$A$2:$A$217,Assumptions!$B$10,Python_Results!$B$2:$B$217,A29)</f>
        <v>0</v>
      </c>
      <c r="AW29" s="29" t="n">
        <f aca="false">AP29-AR29</f>
        <v>-0.00491820275783539</v>
      </c>
      <c r="AX29" s="29" t="n">
        <f aca="false">AL29-AS29</f>
        <v>0.000977344810962677</v>
      </c>
      <c r="AY29" s="29" t="n">
        <f aca="false">AM29-AT29</f>
        <v>-0.00320000201463699</v>
      </c>
      <c r="AZ29" s="29" t="n">
        <f aca="false">AN29-AU29</f>
        <v>-0.00269554369151592</v>
      </c>
      <c r="BA29" s="29" t="n">
        <f aca="false">AO29-AV29</f>
        <v>0</v>
      </c>
    </row>
    <row r="30" customFormat="false" ht="15" hidden="false" customHeight="false" outlineLevel="0" collapsed="false">
      <c r="A30" s="28" t="n">
        <v>24</v>
      </c>
      <c r="B30" s="29" t="n">
        <f aca="false">AP29</f>
        <v>108808071.245082</v>
      </c>
      <c r="C30" s="29" t="n">
        <f aca="false">B30*Assumptions!$B$14</f>
        <v>1206010.15536033</v>
      </c>
      <c r="D30" s="29" t="n">
        <f aca="false">B30-C30</f>
        <v>107602061.089721</v>
      </c>
      <c r="E30" s="29" t="n">
        <f aca="false">D30*Assumptions!$B$15</f>
        <v>481351.2899453</v>
      </c>
      <c r="F30" s="29" t="n">
        <f aca="false">(D30-E30)/MAX(Assumptions!$B$7-A30+1,1)</f>
        <v>4837726.04654781</v>
      </c>
      <c r="G30" s="29" t="n">
        <f aca="false">D30*Assumptions!$B$6/12</f>
        <v>981460.895222795</v>
      </c>
      <c r="H30" s="29" t="n">
        <f aca="false">C30*(1-Assumptions!$B$13)</f>
        <v>524976.220628351</v>
      </c>
      <c r="I30" s="29" t="n">
        <f aca="false">C30*Assumptions!$B$13</f>
        <v>681033.934731977</v>
      </c>
      <c r="J30" s="29" t="n">
        <f aca="false">B30*Assumptions!$B$9/12</f>
        <v>45336.6963521174</v>
      </c>
      <c r="K30" s="29" t="n">
        <f aca="false">MAX(G30-J30,0)</f>
        <v>936124.198870678</v>
      </c>
      <c r="L30" s="29" t="n">
        <f aca="false">AL29</f>
        <v>63858305.0709773</v>
      </c>
      <c r="M30" s="29" t="n">
        <f aca="false">AM29</f>
        <v>38134224.2568</v>
      </c>
      <c r="N30" s="29" t="n">
        <f aca="false">AN29</f>
        <v>6815541.91730446</v>
      </c>
      <c r="O30" s="29" t="n">
        <f aca="false">AO29</f>
        <v>0</v>
      </c>
      <c r="P30" s="29" t="n">
        <f aca="false">L30*Assumptions!$C$27/12</f>
        <v>372506.779580701</v>
      </c>
      <c r="Q30" s="29" t="n">
        <f aca="false">M30*Assumptions!$C$28/12</f>
        <v>270117.421819</v>
      </c>
      <c r="R30" s="29" t="n">
        <f aca="false">N30*Assumptions!$C$29/12</f>
        <v>65315.6100408344</v>
      </c>
      <c r="S30" s="29" t="n">
        <f aca="false">MIN(P30,K30)</f>
        <v>372506.779580701</v>
      </c>
      <c r="T30" s="29" t="n">
        <f aca="false">MIN(Q30,K30-S30)</f>
        <v>270117.421819</v>
      </c>
      <c r="U30" s="29" t="n">
        <f aca="false">MIN(R30,K30-S30-T30)</f>
        <v>65315.6100408344</v>
      </c>
      <c r="V30" s="29" t="n">
        <f aca="false">K30-S30-T30-U30</f>
        <v>228184.387430142</v>
      </c>
      <c r="W30" s="29" t="n">
        <f aca="false">MIN(V30,I30)</f>
        <v>228184.387430142</v>
      </c>
      <c r="X30" s="29" t="n">
        <f aca="false">V30-W30</f>
        <v>0</v>
      </c>
      <c r="Y30" s="29" t="n">
        <f aca="false">MIN(O30,I30-W30)</f>
        <v>0</v>
      </c>
      <c r="Z30" s="29" t="n">
        <f aca="false">MIN(N30,I30-W30-Y30)</f>
        <v>452849.547301835</v>
      </c>
      <c r="AA30" s="29" t="n">
        <f aca="false">MIN(M30,I30-W30-Y30-Z30)</f>
        <v>0</v>
      </c>
      <c r="AB30" s="29" t="n">
        <f aca="false">MIN(L30,I30-W30-Y30-Z30-AA30)</f>
        <v>0</v>
      </c>
      <c r="AC30" s="29" t="n">
        <f aca="false">L30-AB30</f>
        <v>63858305.0709773</v>
      </c>
      <c r="AD30" s="29" t="n">
        <f aca="false">N30-Z30</f>
        <v>6362692.37000262</v>
      </c>
      <c r="AE30" s="29" t="n">
        <f aca="false">M30-AA30</f>
        <v>38134224.2568</v>
      </c>
      <c r="AF30" s="29" t="n">
        <f aca="false">O30-Y30</f>
        <v>0</v>
      </c>
      <c r="AG30" s="29" t="n">
        <f aca="false">F30+E30+H30+W30</f>
        <v>6072237.9445516</v>
      </c>
      <c r="AH30" s="29" t="n">
        <f aca="false">MIN(AC30,AG30)</f>
        <v>6072237.9445516</v>
      </c>
      <c r="AI30" s="29" t="n">
        <f aca="false">MIN(AE30,AG30-AH30)</f>
        <v>0</v>
      </c>
      <c r="AJ30" s="29" t="n">
        <f aca="false">MIN(AD30,AG30-AH30-AI30)</f>
        <v>0</v>
      </c>
      <c r="AK30" s="29" t="n">
        <f aca="false">MIN(AF30,AG30-AH30-AI30-AJ30)</f>
        <v>0</v>
      </c>
      <c r="AL30" s="29" t="n">
        <f aca="false">AC30-AH30</f>
        <v>57786067.1264257</v>
      </c>
      <c r="AM30" s="29" t="n">
        <f aca="false">AE30-AI30</f>
        <v>38134224.2568</v>
      </c>
      <c r="AN30" s="29" t="n">
        <f aca="false">AD30-AJ30</f>
        <v>6362692.37000262</v>
      </c>
      <c r="AO30" s="29" t="n">
        <f aca="false">AF30-AK30</f>
        <v>0</v>
      </c>
      <c r="AP30" s="29" t="n">
        <f aca="false">D30-E30-F30</f>
        <v>102282983.753228</v>
      </c>
      <c r="AQ30" s="29" t="n">
        <f aca="false">SUM(AL30:AO30)-AP30</f>
        <v>0</v>
      </c>
      <c r="AR30" s="29" t="n">
        <f aca="false">SUMIFS(Python_Results!$C$2:$C$217,Python_Results!$A$2:$A$217,Assumptions!$B$10,Python_Results!$B$2:$B$217,A30)</f>
        <v>102282983.75</v>
      </c>
      <c r="AS30" s="29" t="n">
        <f aca="false">SUMIFS(Python_Results!$D$2:$D$217,Python_Results!$A$2:$A$217,Assumptions!$B$10,Python_Results!$B$2:$B$217,A30)</f>
        <v>57786067.13</v>
      </c>
      <c r="AT30" s="29" t="n">
        <f aca="false">SUMIFS(Python_Results!$E$2:$E$217,Python_Results!$A$2:$A$217,Assumptions!$B$10,Python_Results!$B$2:$B$217,A30)</f>
        <v>38134224.26</v>
      </c>
      <c r="AU30" s="29" t="n">
        <f aca="false">SUMIFS(Python_Results!$F$2:$F$217,Python_Results!$A$2:$A$217,Assumptions!$B$10,Python_Results!$B$2:$B$217,A30)</f>
        <v>6362692.37</v>
      </c>
      <c r="AV30" s="29" t="n">
        <f aca="false">SUMIFS(Python_Results!$G$2:$G$217,Python_Results!$A$2:$A$217,Assumptions!$B$10,Python_Results!$B$2:$B$217,A30)</f>
        <v>0</v>
      </c>
      <c r="AW30" s="29" t="n">
        <f aca="false">AP30-AR30</f>
        <v>0.00322835147380829</v>
      </c>
      <c r="AX30" s="29" t="n">
        <f aca="false">AL30-AS30</f>
        <v>-0.00357425957918167</v>
      </c>
      <c r="AY30" s="29" t="n">
        <f aca="false">AM30-AT30</f>
        <v>-0.00320000201463699</v>
      </c>
      <c r="AZ30" s="29" t="n">
        <f aca="false">AN30-AU30</f>
        <v>2.62074172496796E-006</v>
      </c>
      <c r="BA30" s="29" t="n">
        <f aca="false">AO30-AV30</f>
        <v>0</v>
      </c>
    </row>
    <row r="31" customFormat="false" ht="15" hidden="false" customHeight="false" outlineLevel="0" collapsed="false">
      <c r="A31" s="28" t="n">
        <v>25</v>
      </c>
      <c r="B31" s="29" t="n">
        <f aca="false">AP30</f>
        <v>102282983.753228</v>
      </c>
      <c r="C31" s="29" t="n">
        <f aca="false">B31*Assumptions!$B$14</f>
        <v>1133687.1954021</v>
      </c>
      <c r="D31" s="29" t="n">
        <f aca="false">B31-C31</f>
        <v>101149296.557826</v>
      </c>
      <c r="E31" s="29" t="n">
        <f aca="false">D31*Assumptions!$B$15</f>
        <v>452485.239428376</v>
      </c>
      <c r="F31" s="29" t="n">
        <f aca="false">(D31-E31)/MAX(Assumptions!$B$7-A31+1,1)</f>
        <v>4762704.10818895</v>
      </c>
      <c r="G31" s="29" t="n">
        <f aca="false">D31*Assumptions!$B$6/12</f>
        <v>922603.880868255</v>
      </c>
      <c r="H31" s="29" t="n">
        <f aca="false">C31*(1-Assumptions!$B$13)</f>
        <v>493494.036158535</v>
      </c>
      <c r="I31" s="29" t="n">
        <f aca="false">C31*Assumptions!$B$13</f>
        <v>640193.159243567</v>
      </c>
      <c r="J31" s="29" t="n">
        <f aca="false">B31*Assumptions!$B$9/12</f>
        <v>42617.9098971785</v>
      </c>
      <c r="K31" s="29" t="n">
        <f aca="false">MAX(G31-J31,0)</f>
        <v>879985.970971077</v>
      </c>
      <c r="L31" s="29" t="n">
        <f aca="false">AL30</f>
        <v>57786067.1264257</v>
      </c>
      <c r="M31" s="29" t="n">
        <f aca="false">AM30</f>
        <v>38134224.2568</v>
      </c>
      <c r="N31" s="29" t="n">
        <f aca="false">AN30</f>
        <v>6362692.37000262</v>
      </c>
      <c r="O31" s="29" t="n">
        <f aca="false">AO30</f>
        <v>0</v>
      </c>
      <c r="P31" s="29" t="n">
        <f aca="false">L31*Assumptions!$C$27/12</f>
        <v>337085.391570817</v>
      </c>
      <c r="Q31" s="29" t="n">
        <f aca="false">M31*Assumptions!$C$28/12</f>
        <v>270117.421819</v>
      </c>
      <c r="R31" s="29" t="n">
        <f aca="false">N31*Assumptions!$C$29/12</f>
        <v>60975.8018791918</v>
      </c>
      <c r="S31" s="29" t="n">
        <f aca="false">MIN(P31,K31)</f>
        <v>337085.391570817</v>
      </c>
      <c r="T31" s="29" t="n">
        <f aca="false">MIN(Q31,K31-S31)</f>
        <v>270117.421819</v>
      </c>
      <c r="U31" s="29" t="n">
        <f aca="false">MIN(R31,K31-S31-T31)</f>
        <v>60975.8018791918</v>
      </c>
      <c r="V31" s="29" t="n">
        <f aca="false">K31-S31-T31-U31</f>
        <v>211807.355702068</v>
      </c>
      <c r="W31" s="29" t="n">
        <f aca="false">MIN(V31,I31)</f>
        <v>211807.355702068</v>
      </c>
      <c r="X31" s="29" t="n">
        <f aca="false">V31-W31</f>
        <v>0</v>
      </c>
      <c r="Y31" s="29" t="n">
        <f aca="false">MIN(O31,I31-W31)</f>
        <v>0</v>
      </c>
      <c r="Z31" s="29" t="n">
        <f aca="false">MIN(N31,I31-W31-Y31)</f>
        <v>428385.803541499</v>
      </c>
      <c r="AA31" s="29" t="n">
        <f aca="false">MIN(M31,I31-W31-Y31-Z31)</f>
        <v>0</v>
      </c>
      <c r="AB31" s="29" t="n">
        <f aca="false">MIN(L31,I31-W31-Y31-Z31-AA31)</f>
        <v>0</v>
      </c>
      <c r="AC31" s="29" t="n">
        <f aca="false">L31-AB31</f>
        <v>57786067.1264257</v>
      </c>
      <c r="AD31" s="29" t="n">
        <f aca="false">N31-Z31</f>
        <v>5934306.56646112</v>
      </c>
      <c r="AE31" s="29" t="n">
        <f aca="false">M31-AA31</f>
        <v>38134224.2568</v>
      </c>
      <c r="AF31" s="29" t="n">
        <f aca="false">O31-Y31</f>
        <v>0</v>
      </c>
      <c r="AG31" s="29" t="n">
        <f aca="false">F31+E31+H31+W31</f>
        <v>5920490.73947792</v>
      </c>
      <c r="AH31" s="29" t="n">
        <f aca="false">MIN(AC31,AG31)</f>
        <v>5920490.73947792</v>
      </c>
      <c r="AI31" s="29" t="n">
        <f aca="false">MIN(AE31,AG31-AH31)</f>
        <v>0</v>
      </c>
      <c r="AJ31" s="29" t="n">
        <f aca="false">MIN(AD31,AG31-AH31-AI31)</f>
        <v>0</v>
      </c>
      <c r="AK31" s="29" t="n">
        <f aca="false">MIN(AF31,AG31-AH31-AI31-AJ31)</f>
        <v>0</v>
      </c>
      <c r="AL31" s="29" t="n">
        <f aca="false">AC31-AH31</f>
        <v>51865576.3869478</v>
      </c>
      <c r="AM31" s="29" t="n">
        <f aca="false">AE31-AI31</f>
        <v>38134224.2568</v>
      </c>
      <c r="AN31" s="29" t="n">
        <f aca="false">AD31-AJ31</f>
        <v>5934306.56646112</v>
      </c>
      <c r="AO31" s="29" t="n">
        <f aca="false">AF31-AK31</f>
        <v>0</v>
      </c>
      <c r="AP31" s="29" t="n">
        <f aca="false">D31-E31-F31</f>
        <v>95934107.2102089</v>
      </c>
      <c r="AQ31" s="29" t="n">
        <f aca="false">SUM(AL31:AO31)-AP31</f>
        <v>0</v>
      </c>
      <c r="AR31" s="29" t="n">
        <f aca="false">SUMIFS(Python_Results!$C$2:$C$217,Python_Results!$A$2:$A$217,Assumptions!$B$10,Python_Results!$B$2:$B$217,A31)</f>
        <v>95934107.21</v>
      </c>
      <c r="AS31" s="29" t="n">
        <f aca="false">SUMIFS(Python_Results!$D$2:$D$217,Python_Results!$A$2:$A$217,Assumptions!$B$10,Python_Results!$B$2:$B$217,A31)</f>
        <v>51865576.39</v>
      </c>
      <c r="AT31" s="29" t="n">
        <f aca="false">SUMIFS(Python_Results!$E$2:$E$217,Python_Results!$A$2:$A$217,Assumptions!$B$10,Python_Results!$B$2:$B$217,A31)</f>
        <v>38134224.26</v>
      </c>
      <c r="AU31" s="29" t="n">
        <f aca="false">SUMIFS(Python_Results!$F$2:$F$217,Python_Results!$A$2:$A$217,Assumptions!$B$10,Python_Results!$B$2:$B$217,A31)</f>
        <v>5934306.57</v>
      </c>
      <c r="AV31" s="29" t="n">
        <f aca="false">SUMIFS(Python_Results!$G$2:$G$217,Python_Results!$A$2:$A$217,Assumptions!$B$10,Python_Results!$B$2:$B$217,A31)</f>
        <v>0</v>
      </c>
      <c r="AW31" s="29" t="n">
        <f aca="false">AP31-AR31</f>
        <v>0.000208944082260132</v>
      </c>
      <c r="AX31" s="29" t="n">
        <f aca="false">AL31-AS31</f>
        <v>-0.00305218249559402</v>
      </c>
      <c r="AY31" s="29" t="n">
        <f aca="false">AM31-AT31</f>
        <v>-0.00320000201463699</v>
      </c>
      <c r="AZ31" s="29" t="n">
        <f aca="false">AN31-AU31</f>
        <v>-0.00353887770324945</v>
      </c>
      <c r="BA31" s="29" t="n">
        <f aca="false">AO31-AV31</f>
        <v>0</v>
      </c>
    </row>
    <row r="32" customFormat="false" ht="15" hidden="false" customHeight="false" outlineLevel="0" collapsed="false">
      <c r="A32" s="28" t="n">
        <v>26</v>
      </c>
      <c r="B32" s="29" t="n">
        <f aca="false">AP31</f>
        <v>95934107.2102089</v>
      </c>
      <c r="C32" s="29" t="n">
        <f aca="false">B32*Assumptions!$B$14</f>
        <v>1063317.3276304</v>
      </c>
      <c r="D32" s="29" t="n">
        <f aca="false">B32-C32</f>
        <v>94870789.8825785</v>
      </c>
      <c r="E32" s="29" t="n">
        <f aca="false">D32*Assumptions!$B$15</f>
        <v>424398.720857503</v>
      </c>
      <c r="F32" s="29" t="n">
        <f aca="false">(D32-E32)/MAX(Assumptions!$B$7-A32+1,1)</f>
        <v>4688845.58652234</v>
      </c>
      <c r="G32" s="29" t="n">
        <f aca="false">D32*Assumptions!$B$6/12</f>
        <v>865336.308855738</v>
      </c>
      <c r="H32" s="29" t="n">
        <f aca="false">C32*(1-Assumptions!$B$13)</f>
        <v>462862.032717513</v>
      </c>
      <c r="I32" s="29" t="n">
        <f aca="false">C32*Assumptions!$B$13</f>
        <v>600455.294912886</v>
      </c>
      <c r="J32" s="29" t="n">
        <f aca="false">B32*Assumptions!$B$9/12</f>
        <v>39972.5446709204</v>
      </c>
      <c r="K32" s="29" t="n">
        <f aca="false">MAX(G32-J32,0)</f>
        <v>825363.764184818</v>
      </c>
      <c r="L32" s="29" t="n">
        <f aca="false">AL31</f>
        <v>51865576.3869478</v>
      </c>
      <c r="M32" s="29" t="n">
        <f aca="false">AM31</f>
        <v>38134224.2568</v>
      </c>
      <c r="N32" s="29" t="n">
        <f aca="false">AN31</f>
        <v>5934306.56646112</v>
      </c>
      <c r="O32" s="29" t="n">
        <f aca="false">AO31</f>
        <v>0</v>
      </c>
      <c r="P32" s="29" t="n">
        <f aca="false">L32*Assumptions!$C$27/12</f>
        <v>302549.195590529</v>
      </c>
      <c r="Q32" s="29" t="n">
        <f aca="false">M32*Assumptions!$C$28/12</f>
        <v>270117.421819</v>
      </c>
      <c r="R32" s="29" t="n">
        <f aca="false">N32*Assumptions!$C$29/12</f>
        <v>56870.4379285858</v>
      </c>
      <c r="S32" s="29" t="n">
        <f aca="false">MIN(P32,K32)</f>
        <v>302549.195590529</v>
      </c>
      <c r="T32" s="29" t="n">
        <f aca="false">MIN(Q32,K32-S32)</f>
        <v>270117.421819</v>
      </c>
      <c r="U32" s="29" t="n">
        <f aca="false">MIN(R32,K32-S32-T32)</f>
        <v>56870.4379285858</v>
      </c>
      <c r="V32" s="29" t="n">
        <f aca="false">K32-S32-T32-U32</f>
        <v>195826.708846703</v>
      </c>
      <c r="W32" s="29" t="n">
        <f aca="false">MIN(V32,I32)</f>
        <v>195826.708846703</v>
      </c>
      <c r="X32" s="29" t="n">
        <f aca="false">V32-W32</f>
        <v>0</v>
      </c>
      <c r="Y32" s="29" t="n">
        <f aca="false">MIN(O32,I32-W32)</f>
        <v>0</v>
      </c>
      <c r="Z32" s="29" t="n">
        <f aca="false">MIN(N32,I32-W32-Y32)</f>
        <v>404628.586066183</v>
      </c>
      <c r="AA32" s="29" t="n">
        <f aca="false">MIN(M32,I32-W32-Y32-Z32)</f>
        <v>0</v>
      </c>
      <c r="AB32" s="29" t="n">
        <f aca="false">MIN(L32,I32-W32-Y32-Z32-AA32)</f>
        <v>0</v>
      </c>
      <c r="AC32" s="29" t="n">
        <f aca="false">L32-AB32</f>
        <v>51865576.3869478</v>
      </c>
      <c r="AD32" s="29" t="n">
        <f aca="false">N32-Z32</f>
        <v>5529677.98039494</v>
      </c>
      <c r="AE32" s="29" t="n">
        <f aca="false">M32-AA32</f>
        <v>38134224.2568</v>
      </c>
      <c r="AF32" s="29" t="n">
        <f aca="false">O32-Y32</f>
        <v>0</v>
      </c>
      <c r="AG32" s="29" t="n">
        <f aca="false">F32+E32+H32+W32</f>
        <v>5771933.04894406</v>
      </c>
      <c r="AH32" s="29" t="n">
        <f aca="false">MIN(AC32,AG32)</f>
        <v>5771933.04894406</v>
      </c>
      <c r="AI32" s="29" t="n">
        <f aca="false">MIN(AE32,AG32-AH32)</f>
        <v>0</v>
      </c>
      <c r="AJ32" s="29" t="n">
        <f aca="false">MIN(AD32,AG32-AH32-AI32)</f>
        <v>0</v>
      </c>
      <c r="AK32" s="29" t="n">
        <f aca="false">MIN(AF32,AG32-AH32-AI32-AJ32)</f>
        <v>0</v>
      </c>
      <c r="AL32" s="29" t="n">
        <f aca="false">AC32-AH32</f>
        <v>46093643.3380038</v>
      </c>
      <c r="AM32" s="29" t="n">
        <f aca="false">AE32-AI32</f>
        <v>38134224.2568</v>
      </c>
      <c r="AN32" s="29" t="n">
        <f aca="false">AD32-AJ32</f>
        <v>5529677.98039494</v>
      </c>
      <c r="AO32" s="29" t="n">
        <f aca="false">AF32-AK32</f>
        <v>0</v>
      </c>
      <c r="AP32" s="29" t="n">
        <f aca="false">D32-E32-F32</f>
        <v>89757545.5751987</v>
      </c>
      <c r="AQ32" s="29" t="n">
        <f aca="false">SUM(AL32:AO32)-AP32</f>
        <v>0</v>
      </c>
      <c r="AR32" s="29" t="n">
        <f aca="false">SUMIFS(Python_Results!$C$2:$C$217,Python_Results!$A$2:$A$217,Assumptions!$B$10,Python_Results!$B$2:$B$217,A32)</f>
        <v>89757545.58</v>
      </c>
      <c r="AS32" s="29" t="n">
        <f aca="false">SUMIFS(Python_Results!$D$2:$D$217,Python_Results!$A$2:$A$217,Assumptions!$B$10,Python_Results!$B$2:$B$217,A32)</f>
        <v>46093643.34</v>
      </c>
      <c r="AT32" s="29" t="n">
        <f aca="false">SUMIFS(Python_Results!$E$2:$E$217,Python_Results!$A$2:$A$217,Assumptions!$B$10,Python_Results!$B$2:$B$217,A32)</f>
        <v>38134224.26</v>
      </c>
      <c r="AU32" s="29" t="n">
        <f aca="false">SUMIFS(Python_Results!$F$2:$F$217,Python_Results!$A$2:$A$217,Assumptions!$B$10,Python_Results!$B$2:$B$217,A32)</f>
        <v>5529677.98</v>
      </c>
      <c r="AV32" s="29" t="n">
        <f aca="false">SUMIFS(Python_Results!$G$2:$G$217,Python_Results!$A$2:$A$217,Assumptions!$B$10,Python_Results!$B$2:$B$217,A32)</f>
        <v>0</v>
      </c>
      <c r="AW32" s="29" t="n">
        <f aca="false">AP32-AR32</f>
        <v>-0.00480130314826965</v>
      </c>
      <c r="AX32" s="29" t="n">
        <f aca="false">AL32-AS32</f>
        <v>-0.0019962415099144</v>
      </c>
      <c r="AY32" s="29" t="n">
        <f aca="false">AM32-AT32</f>
        <v>-0.00320000201463699</v>
      </c>
      <c r="AZ32" s="29" t="n">
        <f aca="false">AN32-AU32</f>
        <v>0.000394938513636589</v>
      </c>
      <c r="BA32" s="29" t="n">
        <f aca="false">AO32-AV32</f>
        <v>0</v>
      </c>
    </row>
    <row r="33" customFormat="false" ht="15" hidden="false" customHeight="false" outlineLevel="0" collapsed="false">
      <c r="A33" s="28" t="n">
        <v>27</v>
      </c>
      <c r="B33" s="29" t="n">
        <f aca="false">AP32</f>
        <v>89757545.5751987</v>
      </c>
      <c r="C33" s="29" t="n">
        <f aca="false">B33*Assumptions!$B$14</f>
        <v>994857.368991365</v>
      </c>
      <c r="D33" s="29" t="n">
        <f aca="false">B33-C33</f>
        <v>88762688.2062073</v>
      </c>
      <c r="E33" s="29" t="n">
        <f aca="false">D33*Assumptions!$B$15</f>
        <v>397074.498707272</v>
      </c>
      <c r="F33" s="29" t="n">
        <f aca="false">(D33-E33)/MAX(Assumptions!$B$7-A33+1,1)</f>
        <v>4616132.43964678</v>
      </c>
      <c r="G33" s="29" t="n">
        <f aca="false">D33*Assumptions!$B$6/12</f>
        <v>809623.036464009</v>
      </c>
      <c r="H33" s="29" t="n">
        <f aca="false">C33*(1-Assumptions!$B$13)</f>
        <v>433061.412721941</v>
      </c>
      <c r="I33" s="29" t="n">
        <f aca="false">C33*Assumptions!$B$13</f>
        <v>561795.956269424</v>
      </c>
      <c r="J33" s="29" t="n">
        <f aca="false">B33*Assumptions!$B$9/12</f>
        <v>37398.9773229995</v>
      </c>
      <c r="K33" s="29" t="n">
        <f aca="false">MAX(G33-J33,0)</f>
        <v>772224.059141009</v>
      </c>
      <c r="L33" s="29" t="n">
        <f aca="false">AL32</f>
        <v>46093643.3380038</v>
      </c>
      <c r="M33" s="29" t="n">
        <f aca="false">AM32</f>
        <v>38134224.2568</v>
      </c>
      <c r="N33" s="29" t="n">
        <f aca="false">AN32</f>
        <v>5529677.98039494</v>
      </c>
      <c r="O33" s="29" t="n">
        <f aca="false">AO32</f>
        <v>0</v>
      </c>
      <c r="P33" s="29" t="n">
        <f aca="false">L33*Assumptions!$C$27/12</f>
        <v>268879.586138355</v>
      </c>
      <c r="Q33" s="29" t="n">
        <f aca="false">M33*Assumptions!$C$28/12</f>
        <v>270117.421819</v>
      </c>
      <c r="R33" s="29" t="n">
        <f aca="false">N33*Assumptions!$C$29/12</f>
        <v>52992.7473121182</v>
      </c>
      <c r="S33" s="29" t="n">
        <f aca="false">MIN(P33,K33)</f>
        <v>268879.586138355</v>
      </c>
      <c r="T33" s="29" t="n">
        <f aca="false">MIN(Q33,K33-S33)</f>
        <v>270117.421819</v>
      </c>
      <c r="U33" s="29" t="n">
        <f aca="false">MIN(R33,K33-S33-T33)</f>
        <v>52992.7473121182</v>
      </c>
      <c r="V33" s="29" t="n">
        <f aca="false">K33-S33-T33-U33</f>
        <v>180234.303871536</v>
      </c>
      <c r="W33" s="29" t="n">
        <f aca="false">MIN(V33,I33)</f>
        <v>180234.303871536</v>
      </c>
      <c r="X33" s="29" t="n">
        <f aca="false">V33-W33</f>
        <v>0</v>
      </c>
      <c r="Y33" s="29" t="n">
        <f aca="false">MIN(O33,I33-W33)</f>
        <v>0</v>
      </c>
      <c r="Z33" s="29" t="n">
        <f aca="false">MIN(N33,I33-W33-Y33)</f>
        <v>381561.652397888</v>
      </c>
      <c r="AA33" s="29" t="n">
        <f aca="false">MIN(M33,I33-W33-Y33-Z33)</f>
        <v>0</v>
      </c>
      <c r="AB33" s="29" t="n">
        <f aca="false">MIN(L33,I33-W33-Y33-Z33-AA33)</f>
        <v>0</v>
      </c>
      <c r="AC33" s="29" t="n">
        <f aca="false">L33-AB33</f>
        <v>46093643.3380038</v>
      </c>
      <c r="AD33" s="29" t="n">
        <f aca="false">N33-Z33</f>
        <v>5148116.32799705</v>
      </c>
      <c r="AE33" s="29" t="n">
        <f aca="false">M33-AA33</f>
        <v>38134224.2568</v>
      </c>
      <c r="AF33" s="29" t="n">
        <f aca="false">O33-Y33</f>
        <v>0</v>
      </c>
      <c r="AG33" s="29" t="n">
        <f aca="false">F33+E33+H33+W33</f>
        <v>5626502.65494753</v>
      </c>
      <c r="AH33" s="29" t="n">
        <f aca="false">MIN(AC33,AG33)</f>
        <v>5626502.65494753</v>
      </c>
      <c r="AI33" s="29" t="n">
        <f aca="false">MIN(AE33,AG33-AH33)</f>
        <v>0</v>
      </c>
      <c r="AJ33" s="29" t="n">
        <f aca="false">MIN(AD33,AG33-AH33-AI33)</f>
        <v>0</v>
      </c>
      <c r="AK33" s="29" t="n">
        <f aca="false">MIN(AF33,AG33-AH33-AI33-AJ33)</f>
        <v>0</v>
      </c>
      <c r="AL33" s="29" t="n">
        <f aca="false">AC33-AH33</f>
        <v>40467140.6830562</v>
      </c>
      <c r="AM33" s="29" t="n">
        <f aca="false">AE33-AI33</f>
        <v>38134224.2568</v>
      </c>
      <c r="AN33" s="29" t="n">
        <f aca="false">AD33-AJ33</f>
        <v>5148116.32799705</v>
      </c>
      <c r="AO33" s="29" t="n">
        <f aca="false">AF33-AK33</f>
        <v>0</v>
      </c>
      <c r="AP33" s="29" t="n">
        <f aca="false">D33-E33-F33</f>
        <v>83749481.2678533</v>
      </c>
      <c r="AQ33" s="29" t="n">
        <f aca="false">SUM(AL33:AO33)-AP33</f>
        <v>0</v>
      </c>
      <c r="AR33" s="29" t="n">
        <f aca="false">SUMIFS(Python_Results!$C$2:$C$217,Python_Results!$A$2:$A$217,Assumptions!$B$10,Python_Results!$B$2:$B$217,A33)</f>
        <v>83749481.27</v>
      </c>
      <c r="AS33" s="29" t="n">
        <f aca="false">SUMIFS(Python_Results!$D$2:$D$217,Python_Results!$A$2:$A$217,Assumptions!$B$10,Python_Results!$B$2:$B$217,A33)</f>
        <v>40467140.68</v>
      </c>
      <c r="AT33" s="29" t="n">
        <f aca="false">SUMIFS(Python_Results!$E$2:$E$217,Python_Results!$A$2:$A$217,Assumptions!$B$10,Python_Results!$B$2:$B$217,A33)</f>
        <v>38134224.26</v>
      </c>
      <c r="AU33" s="29" t="n">
        <f aca="false">SUMIFS(Python_Results!$F$2:$F$217,Python_Results!$A$2:$A$217,Assumptions!$B$10,Python_Results!$B$2:$B$217,A33)</f>
        <v>5148116.33</v>
      </c>
      <c r="AV33" s="29" t="n">
        <f aca="false">SUMIFS(Python_Results!$G$2:$G$217,Python_Results!$A$2:$A$217,Assumptions!$B$10,Python_Results!$B$2:$B$217,A33)</f>
        <v>0</v>
      </c>
      <c r="AW33" s="29" t="n">
        <f aca="false">AP33-AR33</f>
        <v>-0.00214670598506928</v>
      </c>
      <c r="AX33" s="29" t="n">
        <f aca="false">AL33-AS33</f>
        <v>0.00305622816085815</v>
      </c>
      <c r="AY33" s="29" t="n">
        <f aca="false">AM33-AT33</f>
        <v>-0.00320000201463699</v>
      </c>
      <c r="AZ33" s="29" t="n">
        <f aca="false">AN33-AU33</f>
        <v>-0.00200294889509678</v>
      </c>
      <c r="BA33" s="29" t="n">
        <f aca="false">AO33-AV33</f>
        <v>0</v>
      </c>
    </row>
    <row r="34" customFormat="false" ht="15" hidden="false" customHeight="false" outlineLevel="0" collapsed="false">
      <c r="A34" s="28" t="n">
        <v>28</v>
      </c>
      <c r="B34" s="29" t="n">
        <f aca="false">AP33</f>
        <v>83749481.2678533</v>
      </c>
      <c r="C34" s="29" t="n">
        <f aca="false">B34*Assumptions!$B$14</f>
        <v>928265.006073766</v>
      </c>
      <c r="D34" s="29" t="n">
        <f aca="false">B34-C34</f>
        <v>82821216.2617795</v>
      </c>
      <c r="E34" s="29" t="n">
        <f aca="false">D34*Assumptions!$B$15</f>
        <v>370495.684550176</v>
      </c>
      <c r="F34" s="29" t="n">
        <f aca="false">(D34-E34)/MAX(Assumptions!$B$7-A34+1,1)</f>
        <v>4544546.90544923</v>
      </c>
      <c r="G34" s="29" t="n">
        <f aca="false">D34*Assumptions!$B$6/12</f>
        <v>755429.628694088</v>
      </c>
      <c r="H34" s="29" t="n">
        <f aca="false">C34*(1-Assumptions!$B$13)</f>
        <v>404073.75714391</v>
      </c>
      <c r="I34" s="29" t="n">
        <f aca="false">C34*Assumptions!$B$13</f>
        <v>524191.248929856</v>
      </c>
      <c r="J34" s="29" t="n">
        <f aca="false">B34*Assumptions!$B$9/12</f>
        <v>34895.6171949389</v>
      </c>
      <c r="K34" s="29" t="n">
        <f aca="false">MAX(G34-J34,0)</f>
        <v>720534.011499149</v>
      </c>
      <c r="L34" s="29" t="n">
        <f aca="false">AL33</f>
        <v>40467140.6830562</v>
      </c>
      <c r="M34" s="29" t="n">
        <f aca="false">AM33</f>
        <v>38134224.2568</v>
      </c>
      <c r="N34" s="29" t="n">
        <f aca="false">AN33</f>
        <v>5148116.32799705</v>
      </c>
      <c r="O34" s="29" t="n">
        <f aca="false">AO33</f>
        <v>0</v>
      </c>
      <c r="P34" s="29" t="n">
        <f aca="false">L34*Assumptions!$C$27/12</f>
        <v>236058.320651161</v>
      </c>
      <c r="Q34" s="29" t="n">
        <f aca="false">M34*Assumptions!$C$28/12</f>
        <v>270117.421819</v>
      </c>
      <c r="R34" s="29" t="n">
        <f aca="false">N34*Assumptions!$C$29/12</f>
        <v>49336.1148099717</v>
      </c>
      <c r="S34" s="29" t="n">
        <f aca="false">MIN(P34,K34)</f>
        <v>236058.320651161</v>
      </c>
      <c r="T34" s="29" t="n">
        <f aca="false">MIN(Q34,K34-S34)</f>
        <v>270117.421819</v>
      </c>
      <c r="U34" s="29" t="n">
        <f aca="false">MIN(R34,K34-S34-T34)</f>
        <v>49336.1148099717</v>
      </c>
      <c r="V34" s="29" t="n">
        <f aca="false">K34-S34-T34-U34</f>
        <v>165022.154219016</v>
      </c>
      <c r="W34" s="29" t="n">
        <f aca="false">MIN(V34,I34)</f>
        <v>165022.154219016</v>
      </c>
      <c r="X34" s="29" t="n">
        <f aca="false">V34-W34</f>
        <v>0</v>
      </c>
      <c r="Y34" s="29" t="n">
        <f aca="false">MIN(O34,I34-W34)</f>
        <v>0</v>
      </c>
      <c r="Z34" s="29" t="n">
        <f aca="false">MIN(N34,I34-W34-Y34)</f>
        <v>359169.09471084</v>
      </c>
      <c r="AA34" s="29" t="n">
        <f aca="false">MIN(M34,I34-W34-Y34-Z34)</f>
        <v>0</v>
      </c>
      <c r="AB34" s="29" t="n">
        <f aca="false">MIN(L34,I34-W34-Y34-Z34-AA34)</f>
        <v>0</v>
      </c>
      <c r="AC34" s="29" t="n">
        <f aca="false">L34-AB34</f>
        <v>40467140.6830562</v>
      </c>
      <c r="AD34" s="29" t="n">
        <f aca="false">N34-Z34</f>
        <v>4788947.23328621</v>
      </c>
      <c r="AE34" s="29" t="n">
        <f aca="false">M34-AA34</f>
        <v>38134224.2568</v>
      </c>
      <c r="AF34" s="29" t="n">
        <f aca="false">O34-Y34</f>
        <v>0</v>
      </c>
      <c r="AG34" s="29" t="n">
        <f aca="false">F34+E34+H34+W34</f>
        <v>5484138.50136233</v>
      </c>
      <c r="AH34" s="29" t="n">
        <f aca="false">MIN(AC34,AG34)</f>
        <v>5484138.50136233</v>
      </c>
      <c r="AI34" s="29" t="n">
        <f aca="false">MIN(AE34,AG34-AH34)</f>
        <v>0</v>
      </c>
      <c r="AJ34" s="29" t="n">
        <f aca="false">MIN(AD34,AG34-AH34-AI34)</f>
        <v>0</v>
      </c>
      <c r="AK34" s="29" t="n">
        <f aca="false">MIN(AF34,AG34-AH34-AI34-AJ34)</f>
        <v>0</v>
      </c>
      <c r="AL34" s="29" t="n">
        <f aca="false">AC34-AH34</f>
        <v>34983002.1816939</v>
      </c>
      <c r="AM34" s="29" t="n">
        <f aca="false">AE34-AI34</f>
        <v>38134224.2568</v>
      </c>
      <c r="AN34" s="29" t="n">
        <f aca="false">AD34-AJ34</f>
        <v>4788947.23328621</v>
      </c>
      <c r="AO34" s="29" t="n">
        <f aca="false">AF34-AK34</f>
        <v>0</v>
      </c>
      <c r="AP34" s="29" t="n">
        <f aca="false">D34-E34-F34</f>
        <v>77906173.6717801</v>
      </c>
      <c r="AQ34" s="29" t="n">
        <f aca="false">SUM(AL34:AO34)-AP34</f>
        <v>0</v>
      </c>
      <c r="AR34" s="29" t="n">
        <f aca="false">SUMIFS(Python_Results!$C$2:$C$217,Python_Results!$A$2:$A$217,Assumptions!$B$10,Python_Results!$B$2:$B$217,A34)</f>
        <v>77906173.67</v>
      </c>
      <c r="AS34" s="29" t="n">
        <f aca="false">SUMIFS(Python_Results!$D$2:$D$217,Python_Results!$A$2:$A$217,Assumptions!$B$10,Python_Results!$B$2:$B$217,A34)</f>
        <v>34983002.18</v>
      </c>
      <c r="AT34" s="29" t="n">
        <f aca="false">SUMIFS(Python_Results!$E$2:$E$217,Python_Results!$A$2:$A$217,Assumptions!$B$10,Python_Results!$B$2:$B$217,A34)</f>
        <v>38134224.26</v>
      </c>
      <c r="AU34" s="29" t="n">
        <f aca="false">SUMIFS(Python_Results!$F$2:$F$217,Python_Results!$A$2:$A$217,Assumptions!$B$10,Python_Results!$B$2:$B$217,A34)</f>
        <v>4788947.23</v>
      </c>
      <c r="AV34" s="29" t="n">
        <f aca="false">SUMIFS(Python_Results!$G$2:$G$217,Python_Results!$A$2:$A$217,Assumptions!$B$10,Python_Results!$B$2:$B$217,A34)</f>
        <v>0</v>
      </c>
      <c r="AW34" s="29" t="n">
        <f aca="false">AP34-AR34</f>
        <v>0.00178010761737823</v>
      </c>
      <c r="AX34" s="29" t="n">
        <f aca="false">AL34-AS34</f>
        <v>0.00169389694929123</v>
      </c>
      <c r="AY34" s="29" t="n">
        <f aca="false">AM34-AT34</f>
        <v>-0.00320000201463699</v>
      </c>
      <c r="AZ34" s="29" t="n">
        <f aca="false">AN34-AU34</f>
        <v>0.00328621082007885</v>
      </c>
      <c r="BA34" s="29" t="n">
        <f aca="false">AO34-AV34</f>
        <v>0</v>
      </c>
    </row>
    <row r="35" customFormat="false" ht="15" hidden="false" customHeight="false" outlineLevel="0" collapsed="false">
      <c r="A35" s="28" t="n">
        <v>29</v>
      </c>
      <c r="B35" s="29" t="n">
        <f aca="false">AP34</f>
        <v>77906173.6717801</v>
      </c>
      <c r="C35" s="29" t="n">
        <f aca="false">B35*Assumptions!$B$14</f>
        <v>863498.778521718</v>
      </c>
      <c r="D35" s="29" t="n">
        <f aca="false">B35-C35</f>
        <v>77042674.8932584</v>
      </c>
      <c r="E35" s="29" t="n">
        <f aca="false">D35*Assumptions!$B$15</f>
        <v>344645.730436187</v>
      </c>
      <c r="F35" s="29" t="n">
        <f aca="false">(D35-E35)/MAX(Assumptions!$B$7-A35+1,1)</f>
        <v>4474071.4972659</v>
      </c>
      <c r="G35" s="29" t="n">
        <f aca="false">D35*Assumptions!$B$6/12</f>
        <v>702722.344770393</v>
      </c>
      <c r="H35" s="29" t="n">
        <f aca="false">C35*(1-Assumptions!$B$13)</f>
        <v>375881.018290504</v>
      </c>
      <c r="I35" s="29" t="n">
        <f aca="false">C35*Assumptions!$B$13</f>
        <v>487617.760231214</v>
      </c>
      <c r="J35" s="29" t="n">
        <f aca="false">B35*Assumptions!$B$9/12</f>
        <v>32460.905696575</v>
      </c>
      <c r="K35" s="29" t="n">
        <f aca="false">MAX(G35-J35,0)</f>
        <v>670261.439073818</v>
      </c>
      <c r="L35" s="29" t="n">
        <f aca="false">AL34</f>
        <v>34983002.1816939</v>
      </c>
      <c r="M35" s="29" t="n">
        <f aca="false">AM34</f>
        <v>38134224.2568</v>
      </c>
      <c r="N35" s="29" t="n">
        <f aca="false">AN34</f>
        <v>4788947.23328621</v>
      </c>
      <c r="O35" s="29" t="n">
        <f aca="false">AO34</f>
        <v>0</v>
      </c>
      <c r="P35" s="29" t="n">
        <f aca="false">L35*Assumptions!$C$27/12</f>
        <v>204067.512726548</v>
      </c>
      <c r="Q35" s="29" t="n">
        <f aca="false">M35*Assumptions!$C$28/12</f>
        <v>270117.421819</v>
      </c>
      <c r="R35" s="29" t="n">
        <f aca="false">N35*Assumptions!$C$29/12</f>
        <v>45894.0776523262</v>
      </c>
      <c r="S35" s="29" t="n">
        <f aca="false">MIN(P35,K35)</f>
        <v>204067.512726548</v>
      </c>
      <c r="T35" s="29" t="n">
        <f aca="false">MIN(Q35,K35-S35)</f>
        <v>270117.421819</v>
      </c>
      <c r="U35" s="29" t="n">
        <f aca="false">MIN(R35,K35-S35-T35)</f>
        <v>45894.0776523262</v>
      </c>
      <c r="V35" s="29" t="n">
        <f aca="false">K35-S35-T35-U35</f>
        <v>150182.426875944</v>
      </c>
      <c r="W35" s="29" t="n">
        <f aca="false">MIN(V35,I35)</f>
        <v>150182.426875944</v>
      </c>
      <c r="X35" s="29" t="n">
        <f aca="false">V35-W35</f>
        <v>0</v>
      </c>
      <c r="Y35" s="29" t="n">
        <f aca="false">MIN(O35,I35-W35)</f>
        <v>0</v>
      </c>
      <c r="Z35" s="29" t="n">
        <f aca="false">MIN(N35,I35-W35-Y35)</f>
        <v>337435.33335527</v>
      </c>
      <c r="AA35" s="29" t="n">
        <f aca="false">MIN(M35,I35-W35-Y35-Z35)</f>
        <v>0</v>
      </c>
      <c r="AB35" s="29" t="n">
        <f aca="false">MIN(L35,I35-W35-Y35-Z35-AA35)</f>
        <v>0</v>
      </c>
      <c r="AC35" s="29" t="n">
        <f aca="false">L35-AB35</f>
        <v>34983002.1816939</v>
      </c>
      <c r="AD35" s="29" t="n">
        <f aca="false">N35-Z35</f>
        <v>4451511.89993094</v>
      </c>
      <c r="AE35" s="29" t="n">
        <f aca="false">M35-AA35</f>
        <v>38134224.2568</v>
      </c>
      <c r="AF35" s="29" t="n">
        <f aca="false">O35-Y35</f>
        <v>0</v>
      </c>
      <c r="AG35" s="29" t="n">
        <f aca="false">F35+E35+H35+W35</f>
        <v>5344780.67286854</v>
      </c>
      <c r="AH35" s="29" t="n">
        <f aca="false">MIN(AC35,AG35)</f>
        <v>5344780.67286854</v>
      </c>
      <c r="AI35" s="29" t="n">
        <f aca="false">MIN(AE35,AG35-AH35)</f>
        <v>0</v>
      </c>
      <c r="AJ35" s="29" t="n">
        <f aca="false">MIN(AD35,AG35-AH35-AI35)</f>
        <v>0</v>
      </c>
      <c r="AK35" s="29" t="n">
        <f aca="false">MIN(AF35,AG35-AH35-AI35-AJ35)</f>
        <v>0</v>
      </c>
      <c r="AL35" s="29" t="n">
        <f aca="false">AC35-AH35</f>
        <v>29638221.5088254</v>
      </c>
      <c r="AM35" s="29" t="n">
        <f aca="false">AE35-AI35</f>
        <v>38134224.2568</v>
      </c>
      <c r="AN35" s="29" t="n">
        <f aca="false">AD35-AJ35</f>
        <v>4451511.89993094</v>
      </c>
      <c r="AO35" s="29" t="n">
        <f aca="false">AF35-AK35</f>
        <v>0</v>
      </c>
      <c r="AP35" s="29" t="n">
        <f aca="false">D35-E35-F35</f>
        <v>72223957.6655563</v>
      </c>
      <c r="AQ35" s="29" t="n">
        <f aca="false">SUM(AL35:AO35)-AP35</f>
        <v>0</v>
      </c>
      <c r="AR35" s="29" t="n">
        <f aca="false">SUMIFS(Python_Results!$C$2:$C$217,Python_Results!$A$2:$A$217,Assumptions!$B$10,Python_Results!$B$2:$B$217,A35)</f>
        <v>72223957.67</v>
      </c>
      <c r="AS35" s="29" t="n">
        <f aca="false">SUMIFS(Python_Results!$D$2:$D$217,Python_Results!$A$2:$A$217,Assumptions!$B$10,Python_Results!$B$2:$B$217,A35)</f>
        <v>29638221.51</v>
      </c>
      <c r="AT35" s="29" t="n">
        <f aca="false">SUMIFS(Python_Results!$E$2:$E$217,Python_Results!$A$2:$A$217,Assumptions!$B$10,Python_Results!$B$2:$B$217,A35)</f>
        <v>38134224.26</v>
      </c>
      <c r="AU35" s="29" t="n">
        <f aca="false">SUMIFS(Python_Results!$F$2:$F$217,Python_Results!$A$2:$A$217,Assumptions!$B$10,Python_Results!$B$2:$B$217,A35)</f>
        <v>4451511.9</v>
      </c>
      <c r="AV35" s="29" t="n">
        <f aca="false">SUMIFS(Python_Results!$G$2:$G$217,Python_Results!$A$2:$A$217,Assumptions!$B$10,Python_Results!$B$2:$B$217,A35)</f>
        <v>0</v>
      </c>
      <c r="AW35" s="29" t="n">
        <f aca="false">AP35-AR35</f>
        <v>-0.0044437050819397</v>
      </c>
      <c r="AX35" s="29" t="n">
        <f aca="false">AL35-AS35</f>
        <v>-0.00117463991045952</v>
      </c>
      <c r="AY35" s="29" t="n">
        <f aca="false">AM35-AT35</f>
        <v>-0.00320000201463699</v>
      </c>
      <c r="AZ35" s="29" t="n">
        <f aca="false">AN35-AU35</f>
        <v>-6.9059431552887E-005</v>
      </c>
      <c r="BA35" s="29" t="n">
        <f aca="false">AO35-AV35</f>
        <v>0</v>
      </c>
    </row>
    <row r="36" customFormat="false" ht="15" hidden="false" customHeight="false" outlineLevel="0" collapsed="false">
      <c r="A36" s="28" t="n">
        <v>30</v>
      </c>
      <c r="B36" s="29" t="n">
        <f aca="false">AP35</f>
        <v>72223957.6655563</v>
      </c>
      <c r="C36" s="29" t="n">
        <f aca="false">B36*Assumptions!$B$14</f>
        <v>800518.062752743</v>
      </c>
      <c r="D36" s="29" t="n">
        <f aca="false">B36-C36</f>
        <v>71423439.6028036</v>
      </c>
      <c r="E36" s="29" t="n">
        <f aca="false">D36*Assumptions!$B$15</f>
        <v>319508.422394186</v>
      </c>
      <c r="F36" s="29" t="n">
        <f aca="false">(D36-E36)/MAX(Assumptions!$B$7-A36+1,1)</f>
        <v>4404688.99961071</v>
      </c>
      <c r="G36" s="29" t="n">
        <f aca="false">D36*Assumptions!$B$6/12</f>
        <v>651468.12489036</v>
      </c>
      <c r="H36" s="29" t="n">
        <f aca="false">C36*(1-Assumptions!$B$13)</f>
        <v>348465.512716269</v>
      </c>
      <c r="I36" s="29" t="n">
        <f aca="false">C36*Assumptions!$B$13</f>
        <v>452052.550036474</v>
      </c>
      <c r="J36" s="29" t="n">
        <f aca="false">B36*Assumptions!$B$9/12</f>
        <v>30093.3156939818</v>
      </c>
      <c r="K36" s="29" t="n">
        <f aca="false">MAX(G36-J36,0)</f>
        <v>621374.809196378</v>
      </c>
      <c r="L36" s="29" t="n">
        <f aca="false">AL35</f>
        <v>29638221.5088254</v>
      </c>
      <c r="M36" s="29" t="n">
        <f aca="false">AM35</f>
        <v>38134224.2568</v>
      </c>
      <c r="N36" s="29" t="n">
        <f aca="false">AN35</f>
        <v>4451511.89993094</v>
      </c>
      <c r="O36" s="29" t="n">
        <f aca="false">AO35</f>
        <v>0</v>
      </c>
      <c r="P36" s="29" t="n">
        <f aca="false">L36*Assumptions!$C$27/12</f>
        <v>172889.625468148</v>
      </c>
      <c r="Q36" s="29" t="n">
        <f aca="false">M36*Assumptions!$C$28/12</f>
        <v>270117.421819</v>
      </c>
      <c r="R36" s="29" t="n">
        <f aca="false">N36*Assumptions!$C$29/12</f>
        <v>42660.3223743382</v>
      </c>
      <c r="S36" s="29" t="n">
        <f aca="false">MIN(P36,K36)</f>
        <v>172889.625468148</v>
      </c>
      <c r="T36" s="29" t="n">
        <f aca="false">MIN(Q36,K36-S36)</f>
        <v>270117.421819</v>
      </c>
      <c r="U36" s="29" t="n">
        <f aca="false">MIN(R36,K36-S36-T36)</f>
        <v>42660.3223743382</v>
      </c>
      <c r="V36" s="29" t="n">
        <f aca="false">K36-S36-T36-U36</f>
        <v>135707.439534892</v>
      </c>
      <c r="W36" s="29" t="n">
        <f aca="false">MIN(V36,I36)</f>
        <v>135707.439534892</v>
      </c>
      <c r="X36" s="29" t="n">
        <f aca="false">V36-W36</f>
        <v>0</v>
      </c>
      <c r="Y36" s="29" t="n">
        <f aca="false">MIN(O36,I36-W36)</f>
        <v>0</v>
      </c>
      <c r="Z36" s="29" t="n">
        <f aca="false">MIN(N36,I36-W36-Y36)</f>
        <v>316345.110501582</v>
      </c>
      <c r="AA36" s="29" t="n">
        <f aca="false">MIN(M36,I36-W36-Y36-Z36)</f>
        <v>0</v>
      </c>
      <c r="AB36" s="29" t="n">
        <f aca="false">MIN(L36,I36-W36-Y36-Z36-AA36)</f>
        <v>0</v>
      </c>
      <c r="AC36" s="29" t="n">
        <f aca="false">L36-AB36</f>
        <v>29638221.5088254</v>
      </c>
      <c r="AD36" s="29" t="n">
        <f aca="false">N36-Z36</f>
        <v>4135166.78942936</v>
      </c>
      <c r="AE36" s="29" t="n">
        <f aca="false">M36-AA36</f>
        <v>38134224.2568</v>
      </c>
      <c r="AF36" s="29" t="n">
        <f aca="false">O36-Y36</f>
        <v>0</v>
      </c>
      <c r="AG36" s="29" t="n">
        <f aca="false">F36+E36+H36+W36</f>
        <v>5208370.37425606</v>
      </c>
      <c r="AH36" s="29" t="n">
        <f aca="false">MIN(AC36,AG36)</f>
        <v>5208370.37425606</v>
      </c>
      <c r="AI36" s="29" t="n">
        <f aca="false">MIN(AE36,AG36-AH36)</f>
        <v>0</v>
      </c>
      <c r="AJ36" s="29" t="n">
        <f aca="false">MIN(AD36,AG36-AH36-AI36)</f>
        <v>0</v>
      </c>
      <c r="AK36" s="29" t="n">
        <f aca="false">MIN(AF36,AG36-AH36-AI36-AJ36)</f>
        <v>0</v>
      </c>
      <c r="AL36" s="29" t="n">
        <f aca="false">AC36-AH36</f>
        <v>24429851.1345693</v>
      </c>
      <c r="AM36" s="29" t="n">
        <f aca="false">AE36-AI36</f>
        <v>38134224.2568</v>
      </c>
      <c r="AN36" s="29" t="n">
        <f aca="false">AD36-AJ36</f>
        <v>4135166.78942936</v>
      </c>
      <c r="AO36" s="29" t="n">
        <f aca="false">AF36-AK36</f>
        <v>0</v>
      </c>
      <c r="AP36" s="29" t="n">
        <f aca="false">D36-E36-F36</f>
        <v>66699242.1807987</v>
      </c>
      <c r="AQ36" s="29" t="n">
        <f aca="false">SUM(AL36:AO36)-AP36</f>
        <v>0</v>
      </c>
      <c r="AR36" s="29" t="n">
        <f aca="false">SUMIFS(Python_Results!$C$2:$C$217,Python_Results!$A$2:$A$217,Assumptions!$B$10,Python_Results!$B$2:$B$217,A36)</f>
        <v>66699242.18</v>
      </c>
      <c r="AS36" s="29" t="n">
        <f aca="false">SUMIFS(Python_Results!$D$2:$D$217,Python_Results!$A$2:$A$217,Assumptions!$B$10,Python_Results!$B$2:$B$217,A36)</f>
        <v>24429851.13</v>
      </c>
      <c r="AT36" s="29" t="n">
        <f aca="false">SUMIFS(Python_Results!$E$2:$E$217,Python_Results!$A$2:$A$217,Assumptions!$B$10,Python_Results!$B$2:$B$217,A36)</f>
        <v>38134224.26</v>
      </c>
      <c r="AU36" s="29" t="n">
        <f aca="false">SUMIFS(Python_Results!$F$2:$F$217,Python_Results!$A$2:$A$217,Assumptions!$B$10,Python_Results!$B$2:$B$217,A36)</f>
        <v>4135166.79</v>
      </c>
      <c r="AV36" s="29" t="n">
        <f aca="false">SUMIFS(Python_Results!$G$2:$G$217,Python_Results!$A$2:$A$217,Assumptions!$B$10,Python_Results!$B$2:$B$217,A36)</f>
        <v>0</v>
      </c>
      <c r="AW36" s="29" t="n">
        <f aca="false">AP36-AR36</f>
        <v>0.000798657536506653</v>
      </c>
      <c r="AX36" s="29" t="n">
        <f aca="false">AL36-AS36</f>
        <v>0.00456930324435234</v>
      </c>
      <c r="AY36" s="29" t="n">
        <f aca="false">AM36-AT36</f>
        <v>-0.00320000201463699</v>
      </c>
      <c r="AZ36" s="29" t="n">
        <f aca="false">AN36-AU36</f>
        <v>-0.000570640899240971</v>
      </c>
      <c r="BA36" s="29" t="n">
        <f aca="false">AO36-AV36</f>
        <v>0</v>
      </c>
    </row>
    <row r="37" customFormat="false" ht="15" hidden="false" customHeight="false" outlineLevel="0" collapsed="false">
      <c r="A37" s="28" t="n">
        <v>31</v>
      </c>
      <c r="B37" s="29" t="n">
        <f aca="false">AP36</f>
        <v>66699242.1807987</v>
      </c>
      <c r="C37" s="29" t="n">
        <f aca="false">B37*Assumptions!$B$14</f>
        <v>739283.055975657</v>
      </c>
      <c r="D37" s="29" t="n">
        <f aca="false">B37-C37</f>
        <v>65959959.124823</v>
      </c>
      <c r="E37" s="29" t="n">
        <f aca="false">D37*Assumptions!$B$15</f>
        <v>295067.874053071</v>
      </c>
      <c r="F37" s="29" t="n">
        <f aca="false">(D37-E37)/MAX(Assumptions!$B$7-A37+1,1)</f>
        <v>4336382.46396995</v>
      </c>
      <c r="G37" s="29" t="n">
        <f aca="false">D37*Assumptions!$B$6/12</f>
        <v>601634.577218072</v>
      </c>
      <c r="H37" s="29" t="n">
        <f aca="false">C37*(1-Assumptions!$B$13)</f>
        <v>321809.914266204</v>
      </c>
      <c r="I37" s="29" t="n">
        <f aca="false">C37*Assumptions!$B$13</f>
        <v>417473.141709454</v>
      </c>
      <c r="J37" s="29" t="n">
        <f aca="false">B37*Assumptions!$B$9/12</f>
        <v>27791.3509086661</v>
      </c>
      <c r="K37" s="29" t="n">
        <f aca="false">MAX(G37-J37,0)</f>
        <v>573843.226309406</v>
      </c>
      <c r="L37" s="29" t="n">
        <f aca="false">AL36</f>
        <v>24429851.1345693</v>
      </c>
      <c r="M37" s="29" t="n">
        <f aca="false">AM36</f>
        <v>38134224.2568</v>
      </c>
      <c r="N37" s="29" t="n">
        <f aca="false">AN36</f>
        <v>4135166.78942936</v>
      </c>
      <c r="O37" s="29" t="n">
        <f aca="false">AO36</f>
        <v>0</v>
      </c>
      <c r="P37" s="29" t="n">
        <f aca="false">L37*Assumptions!$C$27/12</f>
        <v>142507.464951654</v>
      </c>
      <c r="Q37" s="29" t="n">
        <f aca="false">M37*Assumptions!$C$28/12</f>
        <v>270117.421819</v>
      </c>
      <c r="R37" s="29" t="n">
        <f aca="false">N37*Assumptions!$C$29/12</f>
        <v>39628.6817320314</v>
      </c>
      <c r="S37" s="29" t="n">
        <f aca="false">MIN(P37,K37)</f>
        <v>142507.464951654</v>
      </c>
      <c r="T37" s="29" t="n">
        <f aca="false">MIN(Q37,K37-S37)</f>
        <v>270117.421819</v>
      </c>
      <c r="U37" s="29" t="n">
        <f aca="false">MIN(R37,K37-S37-T37)</f>
        <v>39628.6817320314</v>
      </c>
      <c r="V37" s="29" t="n">
        <f aca="false">K37-S37-T37-U37</f>
        <v>121589.65780672</v>
      </c>
      <c r="W37" s="29" t="n">
        <f aca="false">MIN(V37,I37)</f>
        <v>121589.65780672</v>
      </c>
      <c r="X37" s="29" t="n">
        <f aca="false">V37-W37</f>
        <v>0</v>
      </c>
      <c r="Y37" s="29" t="n">
        <f aca="false">MIN(O37,I37-W37)</f>
        <v>0</v>
      </c>
      <c r="Z37" s="29" t="n">
        <f aca="false">MIN(N37,I37-W37-Y37)</f>
        <v>295883.483902733</v>
      </c>
      <c r="AA37" s="29" t="n">
        <f aca="false">MIN(M37,I37-W37-Y37-Z37)</f>
        <v>0</v>
      </c>
      <c r="AB37" s="29" t="n">
        <f aca="false">MIN(L37,I37-W37-Y37-Z37-AA37)</f>
        <v>0</v>
      </c>
      <c r="AC37" s="29" t="n">
        <f aca="false">L37-AB37</f>
        <v>24429851.1345693</v>
      </c>
      <c r="AD37" s="29" t="n">
        <f aca="false">N37-Z37</f>
        <v>3839283.30552663</v>
      </c>
      <c r="AE37" s="29" t="n">
        <f aca="false">M37-AA37</f>
        <v>38134224.2568</v>
      </c>
      <c r="AF37" s="29" t="n">
        <f aca="false">O37-Y37</f>
        <v>0</v>
      </c>
      <c r="AG37" s="29" t="n">
        <f aca="false">F37+E37+H37+W37</f>
        <v>5074849.91009595</v>
      </c>
      <c r="AH37" s="29" t="n">
        <f aca="false">MIN(AC37,AG37)</f>
        <v>5074849.91009595</v>
      </c>
      <c r="AI37" s="29" t="n">
        <f aca="false">MIN(AE37,AG37-AH37)</f>
        <v>0</v>
      </c>
      <c r="AJ37" s="29" t="n">
        <f aca="false">MIN(AD37,AG37-AH37-AI37)</f>
        <v>0</v>
      </c>
      <c r="AK37" s="29" t="n">
        <f aca="false">MIN(AF37,AG37-AH37-AI37-AJ37)</f>
        <v>0</v>
      </c>
      <c r="AL37" s="29" t="n">
        <f aca="false">AC37-AH37</f>
        <v>19355001.2244734</v>
      </c>
      <c r="AM37" s="29" t="n">
        <f aca="false">AE37-AI37</f>
        <v>38134224.2568</v>
      </c>
      <c r="AN37" s="29" t="n">
        <f aca="false">AD37-AJ37</f>
        <v>3839283.30552663</v>
      </c>
      <c r="AO37" s="29" t="n">
        <f aca="false">AF37-AK37</f>
        <v>0</v>
      </c>
      <c r="AP37" s="29" t="n">
        <f aca="false">D37-E37-F37</f>
        <v>61328508.7868</v>
      </c>
      <c r="AQ37" s="29" t="n">
        <f aca="false">SUM(AL37:AO37)-AP37</f>
        <v>0</v>
      </c>
      <c r="AR37" s="29" t="n">
        <f aca="false">SUMIFS(Python_Results!$C$2:$C$217,Python_Results!$A$2:$A$217,Assumptions!$B$10,Python_Results!$B$2:$B$217,A37)</f>
        <v>61328508.79</v>
      </c>
      <c r="AS37" s="29" t="n">
        <f aca="false">SUMIFS(Python_Results!$D$2:$D$217,Python_Results!$A$2:$A$217,Assumptions!$B$10,Python_Results!$B$2:$B$217,A37)</f>
        <v>19355001.22</v>
      </c>
      <c r="AT37" s="29" t="n">
        <f aca="false">SUMIFS(Python_Results!$E$2:$E$217,Python_Results!$A$2:$A$217,Assumptions!$B$10,Python_Results!$B$2:$B$217,A37)</f>
        <v>38134224.26</v>
      </c>
      <c r="AU37" s="29" t="n">
        <f aca="false">SUMIFS(Python_Results!$F$2:$F$217,Python_Results!$A$2:$A$217,Assumptions!$B$10,Python_Results!$B$2:$B$217,A37)</f>
        <v>3839283.31</v>
      </c>
      <c r="AV37" s="29" t="n">
        <f aca="false">SUMIFS(Python_Results!$G$2:$G$217,Python_Results!$A$2:$A$217,Assumptions!$B$10,Python_Results!$B$2:$B$217,A37)</f>
        <v>0</v>
      </c>
      <c r="AW37" s="29" t="n">
        <f aca="false">AP37-AR37</f>
        <v>-0.00320001691579819</v>
      </c>
      <c r="AX37" s="29" t="n">
        <f aca="false">AL37-AS37</f>
        <v>0.00447335839271545</v>
      </c>
      <c r="AY37" s="29" t="n">
        <f aca="false">AM37-AT37</f>
        <v>-0.00320000201463699</v>
      </c>
      <c r="AZ37" s="29" t="n">
        <f aca="false">AN37-AU37</f>
        <v>-0.00447337422519922</v>
      </c>
      <c r="BA37" s="29" t="n">
        <f aca="false">AO37-AV37</f>
        <v>0</v>
      </c>
    </row>
    <row r="38" customFormat="false" ht="15" hidden="false" customHeight="false" outlineLevel="0" collapsed="false">
      <c r="A38" s="28" t="n">
        <v>32</v>
      </c>
      <c r="B38" s="29" t="n">
        <f aca="false">AP37</f>
        <v>61328508.7868</v>
      </c>
      <c r="C38" s="29" t="n">
        <f aca="false">B38*Assumptions!$B$14</f>
        <v>679754.760502926</v>
      </c>
      <c r="D38" s="29" t="n">
        <f aca="false">B38-C38</f>
        <v>60648754.0262971</v>
      </c>
      <c r="E38" s="29" t="n">
        <f aca="false">D38*Assumptions!$B$15</f>
        <v>271308.520380396</v>
      </c>
      <c r="F38" s="29" t="n">
        <f aca="false">(D38-E38)/MAX(Assumptions!$B$7-A38+1,1)</f>
        <v>4269135.20466213</v>
      </c>
      <c r="G38" s="29" t="n">
        <f aca="false">D38*Assumptions!$B$6/12</f>
        <v>553189.965117523</v>
      </c>
      <c r="H38" s="29" t="n">
        <f aca="false">C38*(1-Assumptions!$B$13)</f>
        <v>295897.247246924</v>
      </c>
      <c r="I38" s="29" t="n">
        <f aca="false">C38*Assumptions!$B$13</f>
        <v>383857.513256002</v>
      </c>
      <c r="J38" s="29" t="n">
        <f aca="false">B38*Assumptions!$B$9/12</f>
        <v>25553.5453278333</v>
      </c>
      <c r="K38" s="29" t="n">
        <f aca="false">MAX(G38-J38,0)</f>
        <v>527636.41978969</v>
      </c>
      <c r="L38" s="29" t="n">
        <f aca="false">AL37</f>
        <v>19355001.2244734</v>
      </c>
      <c r="M38" s="29" t="n">
        <f aca="false">AM37</f>
        <v>38134224.2568</v>
      </c>
      <c r="N38" s="29" t="n">
        <f aca="false">AN37</f>
        <v>3839283.30552663</v>
      </c>
      <c r="O38" s="29" t="n">
        <f aca="false">AO37</f>
        <v>0</v>
      </c>
      <c r="P38" s="29" t="n">
        <f aca="false">L38*Assumptions!$C$27/12</f>
        <v>112904.173809428</v>
      </c>
      <c r="Q38" s="29" t="n">
        <f aca="false">M38*Assumptions!$C$28/12</f>
        <v>270117.421819</v>
      </c>
      <c r="R38" s="29" t="n">
        <f aca="false">N38*Assumptions!$C$29/12</f>
        <v>36793.1316779635</v>
      </c>
      <c r="S38" s="29" t="n">
        <f aca="false">MIN(P38,K38)</f>
        <v>112904.173809428</v>
      </c>
      <c r="T38" s="29" t="n">
        <f aca="false">MIN(Q38,K38-S38)</f>
        <v>270117.421819</v>
      </c>
      <c r="U38" s="29" t="n">
        <f aca="false">MIN(R38,K38-S38-T38)</f>
        <v>36793.1316779635</v>
      </c>
      <c r="V38" s="29" t="n">
        <f aca="false">K38-S38-T38-U38</f>
        <v>107821.692483298</v>
      </c>
      <c r="W38" s="29" t="n">
        <f aca="false">MIN(V38,I38)</f>
        <v>107821.692483298</v>
      </c>
      <c r="X38" s="29" t="n">
        <f aca="false">V38-W38</f>
        <v>0</v>
      </c>
      <c r="Y38" s="29" t="n">
        <f aca="false">MIN(O38,I38-W38)</f>
        <v>0</v>
      </c>
      <c r="Z38" s="29" t="n">
        <f aca="false">MIN(N38,I38-W38-Y38)</f>
        <v>276035.820772704</v>
      </c>
      <c r="AA38" s="29" t="n">
        <f aca="false">MIN(M38,I38-W38-Y38-Z38)</f>
        <v>0</v>
      </c>
      <c r="AB38" s="29" t="n">
        <f aca="false">MIN(L38,I38-W38-Y38-Z38-AA38)</f>
        <v>0</v>
      </c>
      <c r="AC38" s="29" t="n">
        <f aca="false">L38-AB38</f>
        <v>19355001.2244734</v>
      </c>
      <c r="AD38" s="29" t="n">
        <f aca="false">N38-Z38</f>
        <v>3563247.48475392</v>
      </c>
      <c r="AE38" s="29" t="n">
        <f aca="false">M38-AA38</f>
        <v>38134224.2568</v>
      </c>
      <c r="AF38" s="29" t="n">
        <f aca="false">O38-Y38</f>
        <v>0</v>
      </c>
      <c r="AG38" s="29" t="n">
        <f aca="false">F38+E38+H38+W38</f>
        <v>4944162.66477274</v>
      </c>
      <c r="AH38" s="29" t="n">
        <f aca="false">MIN(AC38,AG38)</f>
        <v>4944162.66477274</v>
      </c>
      <c r="AI38" s="29" t="n">
        <f aca="false">MIN(AE38,AG38-AH38)</f>
        <v>0</v>
      </c>
      <c r="AJ38" s="29" t="n">
        <f aca="false">MIN(AD38,AG38-AH38-AI38)</f>
        <v>0</v>
      </c>
      <c r="AK38" s="29" t="n">
        <f aca="false">MIN(AF38,AG38-AH38-AI38-AJ38)</f>
        <v>0</v>
      </c>
      <c r="AL38" s="29" t="n">
        <f aca="false">AC38-AH38</f>
        <v>14410838.5597006</v>
      </c>
      <c r="AM38" s="29" t="n">
        <f aca="false">AE38-AI38</f>
        <v>38134224.2568</v>
      </c>
      <c r="AN38" s="29" t="n">
        <f aca="false">AD38-AJ38</f>
        <v>3563247.48475392</v>
      </c>
      <c r="AO38" s="29" t="n">
        <f aca="false">AF38-AK38</f>
        <v>0</v>
      </c>
      <c r="AP38" s="29" t="n">
        <f aca="false">D38-E38-F38</f>
        <v>56108310.3012545</v>
      </c>
      <c r="AQ38" s="29" t="n">
        <f aca="false">SUM(AL38:AO38)-AP38</f>
        <v>0</v>
      </c>
      <c r="AR38" s="29" t="n">
        <f aca="false">SUMIFS(Python_Results!$C$2:$C$217,Python_Results!$A$2:$A$217,Assumptions!$B$10,Python_Results!$B$2:$B$217,A38)</f>
        <v>56108310.3</v>
      </c>
      <c r="AS38" s="29" t="n">
        <f aca="false">SUMIFS(Python_Results!$D$2:$D$217,Python_Results!$A$2:$A$217,Assumptions!$B$10,Python_Results!$B$2:$B$217,A38)</f>
        <v>14410838.56</v>
      </c>
      <c r="AT38" s="29" t="n">
        <f aca="false">SUMIFS(Python_Results!$E$2:$E$217,Python_Results!$A$2:$A$217,Assumptions!$B$10,Python_Results!$B$2:$B$217,A38)</f>
        <v>38134224.26</v>
      </c>
      <c r="AU38" s="29" t="n">
        <f aca="false">SUMIFS(Python_Results!$F$2:$F$217,Python_Results!$A$2:$A$217,Assumptions!$B$10,Python_Results!$B$2:$B$217,A38)</f>
        <v>3563247.48</v>
      </c>
      <c r="AV38" s="29" t="n">
        <f aca="false">SUMIFS(Python_Results!$G$2:$G$217,Python_Results!$A$2:$A$217,Assumptions!$B$10,Python_Results!$B$2:$B$217,A38)</f>
        <v>0</v>
      </c>
      <c r="AW38" s="29" t="n">
        <f aca="false">AP38-AR38</f>
        <v>0.00125454366207123</v>
      </c>
      <c r="AX38" s="29" t="n">
        <f aca="false">AL38-AS38</f>
        <v>-0.000299384817481041</v>
      </c>
      <c r="AY38" s="29" t="n">
        <f aca="false">AM38-AT38</f>
        <v>-0.00320000201463699</v>
      </c>
      <c r="AZ38" s="29" t="n">
        <f aca="false">AN38-AU38</f>
        <v>0.0047539216466248</v>
      </c>
      <c r="BA38" s="29" t="n">
        <f aca="false">AO38-AV38</f>
        <v>0</v>
      </c>
    </row>
    <row r="39" customFormat="false" ht="15" hidden="false" customHeight="false" outlineLevel="0" collapsed="false">
      <c r="A39" s="28" t="n">
        <v>33</v>
      </c>
      <c r="B39" s="29" t="n">
        <f aca="false">AP38</f>
        <v>56108310.3012545</v>
      </c>
      <c r="C39" s="29" t="n">
        <f aca="false">B39*Assumptions!$B$14</f>
        <v>621894.968352176</v>
      </c>
      <c r="D39" s="29" t="n">
        <f aca="false">B39-C39</f>
        <v>55486415.3329024</v>
      </c>
      <c r="E39" s="29" t="n">
        <f aca="false">D39*Assumptions!$B$15</f>
        <v>248215.111536414</v>
      </c>
      <c r="F39" s="29" t="n">
        <f aca="false">(D39-E39)/MAX(Assumptions!$B$7-A39+1,1)</f>
        <v>4202930.79476207</v>
      </c>
      <c r="G39" s="29" t="n">
        <f aca="false">D39*Assumptions!$B$6/12</f>
        <v>506103.194621206</v>
      </c>
      <c r="H39" s="29" t="n">
        <f aca="false">C39*(1-Assumptions!$B$13)</f>
        <v>270710.879723702</v>
      </c>
      <c r="I39" s="29" t="n">
        <f aca="false">C39*Assumptions!$B$13</f>
        <v>351184.088628474</v>
      </c>
      <c r="J39" s="29" t="n">
        <f aca="false">B39*Assumptions!$B$9/12</f>
        <v>23378.4626255227</v>
      </c>
      <c r="K39" s="29" t="n">
        <f aca="false">MAX(G39-J39,0)</f>
        <v>482724.731995683</v>
      </c>
      <c r="L39" s="29" t="n">
        <f aca="false">AL38</f>
        <v>14410838.5597006</v>
      </c>
      <c r="M39" s="29" t="n">
        <f aca="false">AM38</f>
        <v>38134224.2568</v>
      </c>
      <c r="N39" s="29" t="n">
        <f aca="false">AN38</f>
        <v>3563247.48475392</v>
      </c>
      <c r="O39" s="29" t="n">
        <f aca="false">AO38</f>
        <v>0</v>
      </c>
      <c r="P39" s="29" t="n">
        <f aca="false">L39*Assumptions!$C$27/12</f>
        <v>84063.2249315869</v>
      </c>
      <c r="Q39" s="29" t="n">
        <f aca="false">M39*Assumptions!$C$28/12</f>
        <v>270117.421819</v>
      </c>
      <c r="R39" s="29" t="n">
        <f aca="false">N39*Assumptions!$C$29/12</f>
        <v>34147.7883955584</v>
      </c>
      <c r="S39" s="29" t="n">
        <f aca="false">MIN(P39,K39)</f>
        <v>84063.2249315869</v>
      </c>
      <c r="T39" s="29" t="n">
        <f aca="false">MIN(Q39,K39-S39)</f>
        <v>270117.421819</v>
      </c>
      <c r="U39" s="29" t="n">
        <f aca="false">MIN(R39,K39-S39-T39)</f>
        <v>34147.7883955584</v>
      </c>
      <c r="V39" s="29" t="n">
        <f aca="false">K39-S39-T39-U39</f>
        <v>94396.2968495376</v>
      </c>
      <c r="W39" s="29" t="n">
        <f aca="false">MIN(V39,I39)</f>
        <v>94396.2968495376</v>
      </c>
      <c r="X39" s="29" t="n">
        <f aca="false">V39-W39</f>
        <v>0</v>
      </c>
      <c r="Y39" s="29" t="n">
        <f aca="false">MIN(O39,I39-W39)</f>
        <v>0</v>
      </c>
      <c r="Z39" s="29" t="n">
        <f aca="false">MIN(N39,I39-W39-Y39)</f>
        <v>256787.791778936</v>
      </c>
      <c r="AA39" s="29" t="n">
        <f aca="false">MIN(M39,I39-W39-Y39-Z39)</f>
        <v>0</v>
      </c>
      <c r="AB39" s="29" t="n">
        <f aca="false">MIN(L39,I39-W39-Y39-Z39-AA39)</f>
        <v>0</v>
      </c>
      <c r="AC39" s="29" t="n">
        <f aca="false">L39-AB39</f>
        <v>14410838.5597006</v>
      </c>
      <c r="AD39" s="29" t="n">
        <f aca="false">N39-Z39</f>
        <v>3306459.69297499</v>
      </c>
      <c r="AE39" s="29" t="n">
        <f aca="false">M39-AA39</f>
        <v>38134224.2568</v>
      </c>
      <c r="AF39" s="29" t="n">
        <f aca="false">O39-Y39</f>
        <v>0</v>
      </c>
      <c r="AG39" s="29" t="n">
        <f aca="false">F39+E39+H39+W39</f>
        <v>4816253.08287172</v>
      </c>
      <c r="AH39" s="29" t="n">
        <f aca="false">MIN(AC39,AG39)</f>
        <v>4816253.08287172</v>
      </c>
      <c r="AI39" s="29" t="n">
        <f aca="false">MIN(AE39,AG39-AH39)</f>
        <v>0</v>
      </c>
      <c r="AJ39" s="29" t="n">
        <f aca="false">MIN(AD39,AG39-AH39-AI39)</f>
        <v>0</v>
      </c>
      <c r="AK39" s="29" t="n">
        <f aca="false">MIN(AF39,AG39-AH39-AI39-AJ39)</f>
        <v>0</v>
      </c>
      <c r="AL39" s="29" t="n">
        <f aca="false">AC39-AH39</f>
        <v>9594585.47682889</v>
      </c>
      <c r="AM39" s="29" t="n">
        <f aca="false">AE39-AI39</f>
        <v>38134224.2568</v>
      </c>
      <c r="AN39" s="29" t="n">
        <f aca="false">AD39-AJ39</f>
        <v>3306459.69297499</v>
      </c>
      <c r="AO39" s="29" t="n">
        <f aca="false">AF39-AK39</f>
        <v>0</v>
      </c>
      <c r="AP39" s="29" t="n">
        <f aca="false">D39-E39-F39</f>
        <v>51035269.4266039</v>
      </c>
      <c r="AQ39" s="29" t="n">
        <f aca="false">SUM(AL39:AO39)-AP39</f>
        <v>0</v>
      </c>
      <c r="AR39" s="29" t="n">
        <f aca="false">SUMIFS(Python_Results!$C$2:$C$217,Python_Results!$A$2:$A$217,Assumptions!$B$10,Python_Results!$B$2:$B$217,A39)</f>
        <v>51035269.43</v>
      </c>
      <c r="AS39" s="29" t="n">
        <f aca="false">SUMIFS(Python_Results!$D$2:$D$217,Python_Results!$A$2:$A$217,Assumptions!$B$10,Python_Results!$B$2:$B$217,A39)</f>
        <v>9594585.48</v>
      </c>
      <c r="AT39" s="29" t="n">
        <f aca="false">SUMIFS(Python_Results!$E$2:$E$217,Python_Results!$A$2:$A$217,Assumptions!$B$10,Python_Results!$B$2:$B$217,A39)</f>
        <v>38134224.26</v>
      </c>
      <c r="AU39" s="29" t="n">
        <f aca="false">SUMIFS(Python_Results!$F$2:$F$217,Python_Results!$A$2:$A$217,Assumptions!$B$10,Python_Results!$B$2:$B$217,A39)</f>
        <v>3306459.69</v>
      </c>
      <c r="AV39" s="29" t="n">
        <f aca="false">SUMIFS(Python_Results!$G$2:$G$217,Python_Results!$A$2:$A$217,Assumptions!$B$10,Python_Results!$B$2:$B$217,A39)</f>
        <v>0</v>
      </c>
      <c r="AW39" s="29" t="n">
        <f aca="false">AP39-AR39</f>
        <v>-0.00339611619710922</v>
      </c>
      <c r="AX39" s="29" t="n">
        <f aca="false">AL39-AS39</f>
        <v>-0.00317110866308212</v>
      </c>
      <c r="AY39" s="29" t="n">
        <f aca="false">AM39-AT39</f>
        <v>-0.00320000201463699</v>
      </c>
      <c r="AZ39" s="29" t="n">
        <f aca="false">AN39-AU39</f>
        <v>0.00297498563304544</v>
      </c>
      <c r="BA39" s="29" t="n">
        <f aca="false">AO39-AV39</f>
        <v>0</v>
      </c>
    </row>
    <row r="40" customFormat="false" ht="15" hidden="false" customHeight="false" outlineLevel="0" collapsed="false">
      <c r="A40" s="28" t="n">
        <v>34</v>
      </c>
      <c r="B40" s="29" t="n">
        <f aca="false">AP39</f>
        <v>51035269.4266039</v>
      </c>
      <c r="C40" s="29" t="n">
        <f aca="false">B40*Assumptions!$B$14</f>
        <v>565666.246131689</v>
      </c>
      <c r="D40" s="29" t="n">
        <f aca="false">B40-C40</f>
        <v>50469603.1804722</v>
      </c>
      <c r="E40" s="29" t="n">
        <f aca="false">D40*Assumptions!$B$15</f>
        <v>225772.706841471</v>
      </c>
      <c r="F40" s="29" t="n">
        <f aca="false">(D40-E40)/MAX(Assumptions!$B$7-A40+1,1)</f>
        <v>4137753.06208822</v>
      </c>
      <c r="G40" s="29" t="n">
        <f aca="false">D40*Assumptions!$B$6/12</f>
        <v>460343.802129801</v>
      </c>
      <c r="H40" s="29" t="n">
        <f aca="false">C40*(1-Assumptions!$B$13)</f>
        <v>246234.516941124</v>
      </c>
      <c r="I40" s="29" t="n">
        <f aca="false">C40*Assumptions!$B$13</f>
        <v>319431.729190565</v>
      </c>
      <c r="J40" s="29" t="n">
        <f aca="false">B40*Assumptions!$B$9/12</f>
        <v>21264.6955944183</v>
      </c>
      <c r="K40" s="29" t="n">
        <f aca="false">MAX(G40-J40,0)</f>
        <v>439079.106535382</v>
      </c>
      <c r="L40" s="29" t="n">
        <f aca="false">AL39</f>
        <v>9594585.47682889</v>
      </c>
      <c r="M40" s="29" t="n">
        <f aca="false">AM39</f>
        <v>38134224.2568</v>
      </c>
      <c r="N40" s="29" t="n">
        <f aca="false">AN39</f>
        <v>3306459.69297499</v>
      </c>
      <c r="O40" s="29" t="n">
        <f aca="false">AO39</f>
        <v>0</v>
      </c>
      <c r="P40" s="29" t="n">
        <f aca="false">L40*Assumptions!$C$27/12</f>
        <v>55968.4152815019</v>
      </c>
      <c r="Q40" s="29" t="n">
        <f aca="false">M40*Assumptions!$C$28/12</f>
        <v>270117.421819</v>
      </c>
      <c r="R40" s="29" t="n">
        <f aca="false">N40*Assumptions!$C$29/12</f>
        <v>31686.9053910103</v>
      </c>
      <c r="S40" s="29" t="n">
        <f aca="false">MIN(P40,K40)</f>
        <v>55968.4152815019</v>
      </c>
      <c r="T40" s="29" t="n">
        <f aca="false">MIN(Q40,K40-S40)</f>
        <v>270117.421819</v>
      </c>
      <c r="U40" s="29" t="n">
        <f aca="false">MIN(R40,K40-S40-T40)</f>
        <v>31686.9053910103</v>
      </c>
      <c r="V40" s="29" t="n">
        <f aca="false">K40-S40-T40-U40</f>
        <v>81306.3640438702</v>
      </c>
      <c r="W40" s="29" t="n">
        <f aca="false">MIN(V40,I40)</f>
        <v>81306.3640438702</v>
      </c>
      <c r="X40" s="29" t="n">
        <f aca="false">V40-W40</f>
        <v>0</v>
      </c>
      <c r="Y40" s="29" t="n">
        <f aca="false">MIN(O40,I40-W40)</f>
        <v>0</v>
      </c>
      <c r="Z40" s="29" t="n">
        <f aca="false">MIN(N40,I40-W40-Y40)</f>
        <v>238125.365146694</v>
      </c>
      <c r="AA40" s="29" t="n">
        <f aca="false">MIN(M40,I40-W40-Y40-Z40)</f>
        <v>0</v>
      </c>
      <c r="AB40" s="29" t="n">
        <f aca="false">MIN(L40,I40-W40-Y40-Z40-AA40)</f>
        <v>0</v>
      </c>
      <c r="AC40" s="29" t="n">
        <f aca="false">L40-AB40</f>
        <v>9594585.47682889</v>
      </c>
      <c r="AD40" s="29" t="n">
        <f aca="false">N40-Z40</f>
        <v>3068334.32782829</v>
      </c>
      <c r="AE40" s="29" t="n">
        <f aca="false">M40-AA40</f>
        <v>38134224.2568</v>
      </c>
      <c r="AF40" s="29" t="n">
        <f aca="false">O40-Y40</f>
        <v>0</v>
      </c>
      <c r="AG40" s="29" t="n">
        <f aca="false">F40+E40+H40+W40</f>
        <v>4691066.64991468</v>
      </c>
      <c r="AH40" s="29" t="n">
        <f aca="false">MIN(AC40,AG40)</f>
        <v>4691066.64991468</v>
      </c>
      <c r="AI40" s="29" t="n">
        <f aca="false">MIN(AE40,AG40-AH40)</f>
        <v>0</v>
      </c>
      <c r="AJ40" s="29" t="n">
        <f aca="false">MIN(AD40,AG40-AH40-AI40)</f>
        <v>0</v>
      </c>
      <c r="AK40" s="29" t="n">
        <f aca="false">MIN(AF40,AG40-AH40-AI40-AJ40)</f>
        <v>0</v>
      </c>
      <c r="AL40" s="29" t="n">
        <f aca="false">AC40-AH40</f>
        <v>4903518.82691421</v>
      </c>
      <c r="AM40" s="29" t="n">
        <f aca="false">AE40-AI40</f>
        <v>38134224.2568</v>
      </c>
      <c r="AN40" s="29" t="n">
        <f aca="false">AD40-AJ40</f>
        <v>3068334.32782829</v>
      </c>
      <c r="AO40" s="29" t="n">
        <f aca="false">AF40-AK40</f>
        <v>0</v>
      </c>
      <c r="AP40" s="29" t="n">
        <f aca="false">D40-E40-F40</f>
        <v>46106077.4115425</v>
      </c>
      <c r="AQ40" s="29" t="n">
        <f aca="false">SUM(AL40:AO40)-AP40</f>
        <v>0</v>
      </c>
      <c r="AR40" s="29" t="n">
        <f aca="false">SUMIFS(Python_Results!$C$2:$C$217,Python_Results!$A$2:$A$217,Assumptions!$B$10,Python_Results!$B$2:$B$217,A40)</f>
        <v>46106077.41</v>
      </c>
      <c r="AS40" s="29" t="n">
        <f aca="false">SUMIFS(Python_Results!$D$2:$D$217,Python_Results!$A$2:$A$217,Assumptions!$B$10,Python_Results!$B$2:$B$217,A40)</f>
        <v>4903518.83</v>
      </c>
      <c r="AT40" s="29" t="n">
        <f aca="false">SUMIFS(Python_Results!$E$2:$E$217,Python_Results!$A$2:$A$217,Assumptions!$B$10,Python_Results!$B$2:$B$217,A40)</f>
        <v>38134224.26</v>
      </c>
      <c r="AU40" s="29" t="n">
        <f aca="false">SUMIFS(Python_Results!$F$2:$F$217,Python_Results!$A$2:$A$217,Assumptions!$B$10,Python_Results!$B$2:$B$217,A40)</f>
        <v>3068334.33</v>
      </c>
      <c r="AV40" s="29" t="n">
        <f aca="false">SUMIFS(Python_Results!$G$2:$G$217,Python_Results!$A$2:$A$217,Assumptions!$B$10,Python_Results!$B$2:$B$217,A40)</f>
        <v>0</v>
      </c>
      <c r="AW40" s="29" t="n">
        <f aca="false">AP40-AR40</f>
        <v>0.00154250860214233</v>
      </c>
      <c r="AX40" s="29" t="n">
        <f aca="false">AL40-AS40</f>
        <v>-0.00308579206466675</v>
      </c>
      <c r="AY40" s="29" t="n">
        <f aca="false">AM40-AT40</f>
        <v>-0.00320000201463699</v>
      </c>
      <c r="AZ40" s="29" t="n">
        <f aca="false">AN40-AU40</f>
        <v>-0.00217170873656869</v>
      </c>
      <c r="BA40" s="29" t="n">
        <f aca="false">AO40-AV40</f>
        <v>0</v>
      </c>
    </row>
    <row r="41" customFormat="false" ht="15" hidden="false" customHeight="false" outlineLevel="0" collapsed="false">
      <c r="A41" s="28" t="n">
        <v>35</v>
      </c>
      <c r="B41" s="29" t="n">
        <f aca="false">AP40</f>
        <v>46106077.4115425</v>
      </c>
      <c r="C41" s="29" t="n">
        <f aca="false">B41*Assumptions!$B$14</f>
        <v>511031.920204753</v>
      </c>
      <c r="D41" s="29" t="n">
        <f aca="false">B41-C41</f>
        <v>45595045.4913378</v>
      </c>
      <c r="E41" s="29" t="n">
        <f aca="false">D41*Assumptions!$B$15</f>
        <v>203966.668854697</v>
      </c>
      <c r="F41" s="29" t="n">
        <f aca="false">(D41-E41)/MAX(Assumptions!$B$7-A41+1,1)</f>
        <v>4073586.08525213</v>
      </c>
      <c r="G41" s="29" t="n">
        <f aca="false">D41*Assumptions!$B$6/12</f>
        <v>415881.942338808</v>
      </c>
      <c r="H41" s="29" t="n">
        <f aca="false">C41*(1-Assumptions!$B$13)</f>
        <v>222452.194865129</v>
      </c>
      <c r="I41" s="29" t="n">
        <f aca="false">C41*Assumptions!$B$13</f>
        <v>288579.725339624</v>
      </c>
      <c r="J41" s="29" t="n">
        <f aca="false">B41*Assumptions!$B$9/12</f>
        <v>19210.8655881427</v>
      </c>
      <c r="K41" s="29" t="n">
        <f aca="false">MAX(G41-J41,0)</f>
        <v>396671.076750665</v>
      </c>
      <c r="L41" s="29" t="n">
        <f aca="false">AL40</f>
        <v>4903518.82691421</v>
      </c>
      <c r="M41" s="29" t="n">
        <f aca="false">AM40</f>
        <v>38134224.2568</v>
      </c>
      <c r="N41" s="29" t="n">
        <f aca="false">AN40</f>
        <v>3068334.32782829</v>
      </c>
      <c r="O41" s="29" t="n">
        <f aca="false">AO40</f>
        <v>0</v>
      </c>
      <c r="P41" s="29" t="n">
        <f aca="false">L41*Assumptions!$C$27/12</f>
        <v>28603.8598236662</v>
      </c>
      <c r="Q41" s="29" t="n">
        <f aca="false">M41*Assumptions!$C$28/12</f>
        <v>270117.421819</v>
      </c>
      <c r="R41" s="29" t="n">
        <f aca="false">N41*Assumptions!$C$29/12</f>
        <v>29404.8706416878</v>
      </c>
      <c r="S41" s="29" t="n">
        <f aca="false">MIN(P41,K41)</f>
        <v>28603.8598236662</v>
      </c>
      <c r="T41" s="29" t="n">
        <f aca="false">MIN(Q41,K41-S41)</f>
        <v>270117.421819</v>
      </c>
      <c r="U41" s="29" t="n">
        <f aca="false">MIN(R41,K41-S41-T41)</f>
        <v>29404.8706416878</v>
      </c>
      <c r="V41" s="29" t="n">
        <f aca="false">K41-S41-T41-U41</f>
        <v>68544.924466311</v>
      </c>
      <c r="W41" s="29" t="n">
        <f aca="false">MIN(V41,I41)</f>
        <v>68544.924466311</v>
      </c>
      <c r="X41" s="29" t="n">
        <f aca="false">V41-W41</f>
        <v>0</v>
      </c>
      <c r="Y41" s="29" t="n">
        <f aca="false">MIN(O41,I41-W41)</f>
        <v>0</v>
      </c>
      <c r="Z41" s="29" t="n">
        <f aca="false">MIN(N41,I41-W41-Y41)</f>
        <v>220034.800873313</v>
      </c>
      <c r="AA41" s="29" t="n">
        <f aca="false">MIN(M41,I41-W41-Y41-Z41)</f>
        <v>0</v>
      </c>
      <c r="AB41" s="29" t="n">
        <f aca="false">MIN(L41,I41-W41-Y41-Z41-AA41)</f>
        <v>0</v>
      </c>
      <c r="AC41" s="29" t="n">
        <f aca="false">L41-AB41</f>
        <v>4903518.82691421</v>
      </c>
      <c r="AD41" s="29" t="n">
        <f aca="false">N41-Z41</f>
        <v>2848299.52695498</v>
      </c>
      <c r="AE41" s="29" t="n">
        <f aca="false">M41-AA41</f>
        <v>38134224.2568</v>
      </c>
      <c r="AF41" s="29" t="n">
        <f aca="false">O41-Y41</f>
        <v>0</v>
      </c>
      <c r="AG41" s="29" t="n">
        <f aca="false">F41+E41+H41+W41</f>
        <v>4568549.87343826</v>
      </c>
      <c r="AH41" s="29" t="n">
        <f aca="false">MIN(AC41,AG41)</f>
        <v>4568549.87343826</v>
      </c>
      <c r="AI41" s="29" t="n">
        <f aca="false">MIN(AE41,AG41-AH41)</f>
        <v>0</v>
      </c>
      <c r="AJ41" s="29" t="n">
        <f aca="false">MIN(AD41,AG41-AH41-AI41)</f>
        <v>0</v>
      </c>
      <c r="AK41" s="29" t="n">
        <f aca="false">MIN(AF41,AG41-AH41-AI41-AJ41)</f>
        <v>0</v>
      </c>
      <c r="AL41" s="29" t="n">
        <f aca="false">AC41-AH41</f>
        <v>334968.953475944</v>
      </c>
      <c r="AM41" s="29" t="n">
        <f aca="false">AE41-AI41</f>
        <v>38134224.2568</v>
      </c>
      <c r="AN41" s="29" t="n">
        <f aca="false">AD41-AJ41</f>
        <v>2848299.52695498</v>
      </c>
      <c r="AO41" s="29" t="n">
        <f aca="false">AF41-AK41</f>
        <v>0</v>
      </c>
      <c r="AP41" s="29" t="n">
        <f aca="false">D41-E41-F41</f>
        <v>41317492.7372309</v>
      </c>
      <c r="AQ41" s="29" t="n">
        <f aca="false">SUM(AL41:AO41)-AP41</f>
        <v>0</v>
      </c>
      <c r="AR41" s="29" t="n">
        <f aca="false">SUMIFS(Python_Results!$C$2:$C$217,Python_Results!$A$2:$A$217,Assumptions!$B$10,Python_Results!$B$2:$B$217,A41)</f>
        <v>41317492.74</v>
      </c>
      <c r="AS41" s="29" t="n">
        <f aca="false">SUMIFS(Python_Results!$D$2:$D$217,Python_Results!$A$2:$A$217,Assumptions!$B$10,Python_Results!$B$2:$B$217,A41)</f>
        <v>334968.95</v>
      </c>
      <c r="AT41" s="29" t="n">
        <f aca="false">SUMIFS(Python_Results!$E$2:$E$217,Python_Results!$A$2:$A$217,Assumptions!$B$10,Python_Results!$B$2:$B$217,A41)</f>
        <v>38134224.26</v>
      </c>
      <c r="AU41" s="29" t="n">
        <f aca="false">SUMIFS(Python_Results!$F$2:$F$217,Python_Results!$A$2:$A$217,Assumptions!$B$10,Python_Results!$B$2:$B$217,A41)</f>
        <v>2848299.53</v>
      </c>
      <c r="AV41" s="29" t="n">
        <f aca="false">SUMIFS(Python_Results!$G$2:$G$217,Python_Results!$A$2:$A$217,Assumptions!$B$10,Python_Results!$B$2:$B$217,A41)</f>
        <v>0</v>
      </c>
      <c r="AW41" s="29" t="n">
        <f aca="false">AP41-AR41</f>
        <v>-0.00276907533407211</v>
      </c>
      <c r="AX41" s="29" t="n">
        <f aca="false">AL41-AS41</f>
        <v>0.0034759437548928</v>
      </c>
      <c r="AY41" s="29" t="n">
        <f aca="false">AM41-AT41</f>
        <v>-0.00320000201463699</v>
      </c>
      <c r="AZ41" s="29" t="n">
        <f aca="false">AN41-AU41</f>
        <v>-0.00304502109065652</v>
      </c>
      <c r="BA41" s="29" t="n">
        <f aca="false">AO41-AV41</f>
        <v>0</v>
      </c>
    </row>
    <row r="42" customFormat="false" ht="15" hidden="false" customHeight="false" outlineLevel="0" collapsed="false">
      <c r="A42" s="28" t="n">
        <v>36</v>
      </c>
      <c r="B42" s="29" t="n">
        <f aca="false">AP41</f>
        <v>41317492.7372309</v>
      </c>
      <c r="C42" s="29" t="n">
        <f aca="false">B42*Assumptions!$B$14</f>
        <v>457956.062127877</v>
      </c>
      <c r="D42" s="29" t="n">
        <f aca="false">B42-C42</f>
        <v>40859536.6751031</v>
      </c>
      <c r="E42" s="29" t="n">
        <f aca="false">D42*Assumptions!$B$15</f>
        <v>182782.657562002</v>
      </c>
      <c r="F42" s="29" t="n">
        <f aca="false">(D42-E42)/MAX(Assumptions!$B$7-A42+1,1)</f>
        <v>4010414.18976925</v>
      </c>
      <c r="G42" s="29" t="n">
        <f aca="false">D42*Assumptions!$B$6/12</f>
        <v>372688.376388043</v>
      </c>
      <c r="H42" s="29" t="n">
        <f aca="false">C42*(1-Assumptions!$B$13)</f>
        <v>199348.273844265</v>
      </c>
      <c r="I42" s="29" t="n">
        <f aca="false">C42*Assumptions!$B$13</f>
        <v>258607.788283612</v>
      </c>
      <c r="J42" s="29" t="n">
        <f aca="false">B42*Assumptions!$B$9/12</f>
        <v>17215.6219738462</v>
      </c>
      <c r="K42" s="29" t="n">
        <f aca="false">MAX(G42-J42,0)</f>
        <v>355472.754414196</v>
      </c>
      <c r="L42" s="29" t="n">
        <f aca="false">AL41</f>
        <v>334968.953475944</v>
      </c>
      <c r="M42" s="29" t="n">
        <f aca="false">AM41</f>
        <v>38134224.2568</v>
      </c>
      <c r="N42" s="29" t="n">
        <f aca="false">AN41</f>
        <v>2848299.52695498</v>
      </c>
      <c r="O42" s="29" t="n">
        <f aca="false">AO41</f>
        <v>0</v>
      </c>
      <c r="P42" s="29" t="n">
        <f aca="false">L42*Assumptions!$C$27/12</f>
        <v>1953.98556194301</v>
      </c>
      <c r="Q42" s="29" t="n">
        <f aca="false">M42*Assumptions!$C$28/12</f>
        <v>270117.421819</v>
      </c>
      <c r="R42" s="29" t="n">
        <f aca="false">N42*Assumptions!$C$29/12</f>
        <v>27296.2037999852</v>
      </c>
      <c r="S42" s="29" t="n">
        <f aca="false">MIN(P42,K42)</f>
        <v>1953.98556194301</v>
      </c>
      <c r="T42" s="29" t="n">
        <f aca="false">MIN(Q42,K42-S42)</f>
        <v>270117.421819</v>
      </c>
      <c r="U42" s="29" t="n">
        <f aca="false">MIN(R42,K42-S42-T42)</f>
        <v>27296.2037999852</v>
      </c>
      <c r="V42" s="29" t="n">
        <f aca="false">K42-S42-T42-U42</f>
        <v>56105.1432332681</v>
      </c>
      <c r="W42" s="29" t="n">
        <f aca="false">MIN(V42,I42)</f>
        <v>56105.1432332681</v>
      </c>
      <c r="X42" s="29" t="n">
        <f aca="false">V42-W42</f>
        <v>0</v>
      </c>
      <c r="Y42" s="29" t="n">
        <f aca="false">MIN(O42,I42-W42)</f>
        <v>0</v>
      </c>
      <c r="Z42" s="29" t="n">
        <f aca="false">MIN(N42,I42-W42-Y42)</f>
        <v>202502.645050344</v>
      </c>
      <c r="AA42" s="29" t="n">
        <f aca="false">MIN(M42,I42-W42-Y42-Z42)</f>
        <v>0</v>
      </c>
      <c r="AB42" s="29" t="n">
        <f aca="false">MIN(L42,I42-W42-Y42-Z42-AA42)</f>
        <v>0</v>
      </c>
      <c r="AC42" s="29" t="n">
        <f aca="false">L42-AB42</f>
        <v>334968.953475944</v>
      </c>
      <c r="AD42" s="29" t="n">
        <f aca="false">N42-Z42</f>
        <v>2645796.88190464</v>
      </c>
      <c r="AE42" s="29" t="n">
        <f aca="false">M42-AA42</f>
        <v>38134224.2568</v>
      </c>
      <c r="AF42" s="29" t="n">
        <f aca="false">O42-Y42</f>
        <v>0</v>
      </c>
      <c r="AG42" s="29" t="n">
        <f aca="false">F42+E42+H42+W42</f>
        <v>4448650.26440878</v>
      </c>
      <c r="AH42" s="29" t="n">
        <f aca="false">MIN(AC42,AG42)</f>
        <v>334968.953475944</v>
      </c>
      <c r="AI42" s="29" t="n">
        <f aca="false">MIN(AE42,AG42-AH42)</f>
        <v>4113681.31093284</v>
      </c>
      <c r="AJ42" s="29" t="n">
        <f aca="false">MIN(AD42,AG42-AH42-AI42)</f>
        <v>0</v>
      </c>
      <c r="AK42" s="29" t="n">
        <f aca="false">MIN(AF42,AG42-AH42-AI42-AJ42)</f>
        <v>0</v>
      </c>
      <c r="AL42" s="29" t="n">
        <f aca="false">AC42-AH42</f>
        <v>0</v>
      </c>
      <c r="AM42" s="29" t="n">
        <f aca="false">AE42-AI42</f>
        <v>34020542.9458672</v>
      </c>
      <c r="AN42" s="29" t="n">
        <f aca="false">AD42-AJ42</f>
        <v>2645796.88190464</v>
      </c>
      <c r="AO42" s="29" t="n">
        <f aca="false">AF42-AK42</f>
        <v>0</v>
      </c>
      <c r="AP42" s="29" t="n">
        <f aca="false">D42-E42-F42</f>
        <v>36666339.8277718</v>
      </c>
      <c r="AQ42" s="29" t="n">
        <f aca="false">SUM(AL42:AO42)-AP42</f>
        <v>0</v>
      </c>
      <c r="AR42" s="29" t="n">
        <f aca="false">SUMIFS(Python_Results!$C$2:$C$217,Python_Results!$A$2:$A$217,Assumptions!$B$10,Python_Results!$B$2:$B$217,A42)</f>
        <v>36666339.83</v>
      </c>
      <c r="AS42" s="29" t="n">
        <f aca="false">SUMIFS(Python_Results!$D$2:$D$217,Python_Results!$A$2:$A$217,Assumptions!$B$10,Python_Results!$B$2:$B$217,A42)</f>
        <v>0</v>
      </c>
      <c r="AT42" s="29" t="n">
        <f aca="false">SUMIFS(Python_Results!$E$2:$E$217,Python_Results!$A$2:$A$217,Assumptions!$B$10,Python_Results!$B$2:$B$217,A42)</f>
        <v>34020542.95</v>
      </c>
      <c r="AU42" s="29" t="n">
        <f aca="false">SUMIFS(Python_Results!$F$2:$F$217,Python_Results!$A$2:$A$217,Assumptions!$B$10,Python_Results!$B$2:$B$217,A42)</f>
        <v>2645796.88</v>
      </c>
      <c r="AV42" s="29" t="n">
        <f aca="false">SUMIFS(Python_Results!$G$2:$G$217,Python_Results!$A$2:$A$217,Assumptions!$B$10,Python_Results!$B$2:$B$217,A42)</f>
        <v>0</v>
      </c>
      <c r="AW42" s="29" t="n">
        <f aca="false">AP42-AR42</f>
        <v>-0.00222819298505783</v>
      </c>
      <c r="AX42" s="29" t="n">
        <f aca="false">AL42-AS42</f>
        <v>0</v>
      </c>
      <c r="AY42" s="29" t="n">
        <f aca="false">AM42-AT42</f>
        <v>-0.00413284450769424</v>
      </c>
      <c r="AZ42" s="29" t="n">
        <f aca="false">AN42-AU42</f>
        <v>0.00190463522449136</v>
      </c>
      <c r="BA42" s="29" t="n">
        <f aca="false">AO42-AV42</f>
        <v>0</v>
      </c>
    </row>
    <row r="44" customFormat="false" ht="15" hidden="false" customHeight="false" outlineLevel="0" collapsed="false">
      <c r="A44" s="6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20"/>
  </cols>
  <sheetData>
    <row r="1" customFormat="false" ht="31.5" hidden="false" customHeight="true" outlineLevel="0" collapsed="false">
      <c r="A1" s="13" t="s">
        <v>150</v>
      </c>
      <c r="B1" s="13" t="s">
        <v>151</v>
      </c>
      <c r="C1" s="13" t="s">
        <v>152</v>
      </c>
      <c r="D1" s="13" t="s">
        <v>153</v>
      </c>
    </row>
    <row r="2" customFormat="false" ht="15" hidden="false" customHeight="false" outlineLevel="0" collapsed="false">
      <c r="A2" s="14" t="s">
        <v>154</v>
      </c>
      <c r="B2" s="14" t="n">
        <v>1</v>
      </c>
      <c r="C2" s="30" t="n">
        <v>0</v>
      </c>
      <c r="D2" s="3" t="str">
        <f aca="false">A2&amp;"|"&amp;B2</f>
        <v>Current|1</v>
      </c>
    </row>
    <row r="3" customFormat="false" ht="15" hidden="false" customHeight="false" outlineLevel="0" collapsed="false">
      <c r="A3" s="14" t="s">
        <v>155</v>
      </c>
      <c r="B3" s="14" t="n">
        <v>1</v>
      </c>
      <c r="C3" s="30" t="n">
        <v>0</v>
      </c>
      <c r="D3" s="3" t="str">
        <f aca="false">A3&amp;"|"&amp;B3</f>
        <v>1-29 DPD|1</v>
      </c>
    </row>
    <row r="4" customFormat="false" ht="15" hidden="false" customHeight="false" outlineLevel="0" collapsed="false">
      <c r="A4" s="14" t="s">
        <v>156</v>
      </c>
      <c r="B4" s="14" t="n">
        <v>1</v>
      </c>
      <c r="C4" s="30" t="n">
        <v>0</v>
      </c>
      <c r="D4" s="3" t="str">
        <f aca="false">A4&amp;"|"&amp;B4</f>
        <v>30-59 DPD|1</v>
      </c>
    </row>
    <row r="5" customFormat="false" ht="15" hidden="false" customHeight="false" outlineLevel="0" collapsed="false">
      <c r="A5" s="14" t="s">
        <v>157</v>
      </c>
      <c r="B5" s="14" t="n">
        <v>1</v>
      </c>
      <c r="C5" s="30" t="n">
        <v>0.369048</v>
      </c>
      <c r="D5" s="3" t="str">
        <f aca="false">A5&amp;"|"&amp;B5</f>
        <v>60-89 DPD|1</v>
      </c>
    </row>
    <row r="6" customFormat="false" ht="15" hidden="false" customHeight="false" outlineLevel="0" collapsed="false">
      <c r="A6" s="14" t="s">
        <v>154</v>
      </c>
      <c r="B6" s="14" t="n">
        <v>2</v>
      </c>
      <c r="C6" s="30" t="n">
        <v>0.001727</v>
      </c>
      <c r="D6" s="3" t="str">
        <f aca="false">A6&amp;"|"&amp;B6</f>
        <v>Current|2</v>
      </c>
    </row>
    <row r="7" customFormat="false" ht="15" hidden="false" customHeight="false" outlineLevel="0" collapsed="false">
      <c r="A7" s="14" t="s">
        <v>155</v>
      </c>
      <c r="B7" s="14" t="n">
        <v>2</v>
      </c>
      <c r="C7" s="30" t="n">
        <v>0</v>
      </c>
      <c r="D7" s="3" t="str">
        <f aca="false">A7&amp;"|"&amp;B7</f>
        <v>1-29 DPD|2</v>
      </c>
    </row>
    <row r="8" customFormat="false" ht="15" hidden="false" customHeight="false" outlineLevel="0" collapsed="false">
      <c r="A8" s="14" t="s">
        <v>156</v>
      </c>
      <c r="B8" s="14" t="n">
        <v>2</v>
      </c>
      <c r="C8" s="30" t="n">
        <v>0.200161</v>
      </c>
      <c r="D8" s="3" t="str">
        <f aca="false">A8&amp;"|"&amp;B8</f>
        <v>30-59 DPD|2</v>
      </c>
    </row>
    <row r="9" customFormat="false" ht="15" hidden="false" customHeight="false" outlineLevel="0" collapsed="false">
      <c r="A9" s="14" t="s">
        <v>157</v>
      </c>
      <c r="B9" s="14" t="n">
        <v>2</v>
      </c>
      <c r="C9" s="30" t="n">
        <v>0.601899</v>
      </c>
      <c r="D9" s="3" t="str">
        <f aca="false">A9&amp;"|"&amp;B9</f>
        <v>60-89 DPD|2</v>
      </c>
    </row>
    <row r="10" customFormat="false" ht="15" hidden="false" customHeight="false" outlineLevel="0" collapsed="false">
      <c r="A10" s="14" t="s">
        <v>154</v>
      </c>
      <c r="B10" s="14" t="n">
        <v>3</v>
      </c>
      <c r="C10" s="30" t="n">
        <v>0.005833</v>
      </c>
      <c r="D10" s="3" t="str">
        <f aca="false">A10&amp;"|"&amp;B10</f>
        <v>Current|3</v>
      </c>
    </row>
    <row r="11" customFormat="false" ht="15" hidden="false" customHeight="false" outlineLevel="0" collapsed="false">
      <c r="A11" s="14" t="s">
        <v>155</v>
      </c>
      <c r="B11" s="14" t="n">
        <v>3</v>
      </c>
      <c r="C11" s="30" t="n">
        <v>0.011175</v>
      </c>
      <c r="D11" s="3" t="str">
        <f aca="false">A11&amp;"|"&amp;B11</f>
        <v>1-29 DPD|3</v>
      </c>
    </row>
    <row r="12" customFormat="false" ht="15" hidden="false" customHeight="false" outlineLevel="0" collapsed="false">
      <c r="A12" s="14" t="s">
        <v>156</v>
      </c>
      <c r="B12" s="14" t="n">
        <v>3</v>
      </c>
      <c r="C12" s="30" t="n">
        <v>0.418053</v>
      </c>
      <c r="D12" s="3" t="str">
        <f aca="false">A12&amp;"|"&amp;B12</f>
        <v>30-59 DPD|3</v>
      </c>
    </row>
    <row r="13" customFormat="false" ht="15" hidden="false" customHeight="false" outlineLevel="0" collapsed="false">
      <c r="A13" s="14" t="s">
        <v>157</v>
      </c>
      <c r="B13" s="14" t="n">
        <v>3</v>
      </c>
      <c r="C13" s="30" t="n">
        <v>0.748817</v>
      </c>
      <c r="D13" s="3" t="str">
        <f aca="false">A13&amp;"|"&amp;B13</f>
        <v>60-89 DPD|3</v>
      </c>
    </row>
    <row r="14" customFormat="false" ht="15" hidden="false" customHeight="false" outlineLevel="0" collapsed="false">
      <c r="A14" s="14" t="s">
        <v>154</v>
      </c>
      <c r="B14" s="14" t="n">
        <v>4</v>
      </c>
      <c r="C14" s="30" t="n">
        <v>0.012503</v>
      </c>
      <c r="D14" s="3" t="str">
        <f aca="false">A14&amp;"|"&amp;B14</f>
        <v>Current|4</v>
      </c>
    </row>
    <row r="15" customFormat="false" ht="15" hidden="false" customHeight="false" outlineLevel="0" collapsed="false">
      <c r="A15" s="14" t="s">
        <v>155</v>
      </c>
      <c r="B15" s="14" t="n">
        <v>4</v>
      </c>
      <c r="C15" s="30" t="n">
        <v>0.029162</v>
      </c>
      <c r="D15" s="3" t="str">
        <f aca="false">A15&amp;"|"&amp;B15</f>
        <v>1-29 DPD|4</v>
      </c>
    </row>
    <row r="16" customFormat="false" ht="15" hidden="false" customHeight="false" outlineLevel="0" collapsed="false">
      <c r="A16" s="14" t="s">
        <v>156</v>
      </c>
      <c r="B16" s="14" t="n">
        <v>4</v>
      </c>
      <c r="C16" s="30" t="n">
        <v>0.597451</v>
      </c>
      <c r="D16" s="3" t="str">
        <f aca="false">A16&amp;"|"&amp;B16</f>
        <v>30-59 DPD|4</v>
      </c>
    </row>
    <row r="17" customFormat="false" ht="15" hidden="false" customHeight="false" outlineLevel="0" collapsed="false">
      <c r="A17" s="14" t="s">
        <v>157</v>
      </c>
      <c r="B17" s="14" t="n">
        <v>4</v>
      </c>
      <c r="C17" s="30" t="n">
        <v>0.841516</v>
      </c>
      <c r="D17" s="3" t="str">
        <f aca="false">A17&amp;"|"&amp;B17</f>
        <v>60-89 DPD|4</v>
      </c>
    </row>
    <row r="18" customFormat="false" ht="15" hidden="false" customHeight="false" outlineLevel="0" collapsed="false">
      <c r="A18" s="14" t="s">
        <v>154</v>
      </c>
      <c r="B18" s="14" t="n">
        <v>5</v>
      </c>
      <c r="C18" s="30" t="n">
        <v>0.021418</v>
      </c>
      <c r="D18" s="3" t="str">
        <f aca="false">A18&amp;"|"&amp;B18</f>
        <v>Current|5</v>
      </c>
    </row>
    <row r="19" customFormat="false" ht="15" hidden="false" customHeight="false" outlineLevel="0" collapsed="false">
      <c r="A19" s="14" t="s">
        <v>155</v>
      </c>
      <c r="B19" s="14" t="n">
        <v>5</v>
      </c>
      <c r="C19" s="30" t="n">
        <v>0.049371</v>
      </c>
      <c r="D19" s="3" t="str">
        <f aca="false">A19&amp;"|"&amp;B19</f>
        <v>1-29 DPD|5</v>
      </c>
    </row>
    <row r="20" customFormat="false" ht="15" hidden="false" customHeight="false" outlineLevel="0" collapsed="false">
      <c r="A20" s="14" t="s">
        <v>156</v>
      </c>
      <c r="B20" s="14" t="n">
        <v>5</v>
      </c>
      <c r="C20" s="30" t="n">
        <v>0.729825</v>
      </c>
      <c r="D20" s="3" t="str">
        <f aca="false">A20&amp;"|"&amp;B20</f>
        <v>30-59 DPD|5</v>
      </c>
    </row>
    <row r="21" customFormat="false" ht="15" hidden="false" customHeight="false" outlineLevel="0" collapsed="false">
      <c r="A21" s="14" t="s">
        <v>157</v>
      </c>
      <c r="B21" s="14" t="n">
        <v>5</v>
      </c>
      <c r="C21" s="30" t="n">
        <v>0.900004</v>
      </c>
      <c r="D21" s="3" t="str">
        <f aca="false">A21&amp;"|"&amp;B21</f>
        <v>60-89 DPD|5</v>
      </c>
    </row>
    <row r="22" customFormat="false" ht="15" hidden="false" customHeight="false" outlineLevel="0" collapsed="false">
      <c r="A22" s="14" t="s">
        <v>154</v>
      </c>
      <c r="B22" s="14" t="n">
        <v>6</v>
      </c>
      <c r="C22" s="30" t="n">
        <v>0.03206</v>
      </c>
      <c r="D22" s="3" t="str">
        <f aca="false">A22&amp;"|"&amp;B22</f>
        <v>Current|6</v>
      </c>
    </row>
    <row r="23" customFormat="false" ht="15" hidden="false" customHeight="false" outlineLevel="0" collapsed="false">
      <c r="A23" s="14" t="s">
        <v>155</v>
      </c>
      <c r="B23" s="14" t="n">
        <v>6</v>
      </c>
      <c r="C23" s="30" t="n">
        <v>0.069292</v>
      </c>
      <c r="D23" s="3" t="str">
        <f aca="false">A23&amp;"|"&amp;B23</f>
        <v>1-29 DPD|6</v>
      </c>
    </row>
    <row r="24" customFormat="false" ht="15" hidden="false" customHeight="false" outlineLevel="0" collapsed="false">
      <c r="A24" s="14" t="s">
        <v>156</v>
      </c>
      <c r="B24" s="14" t="n">
        <v>6</v>
      </c>
      <c r="C24" s="30" t="n">
        <v>0.822125</v>
      </c>
      <c r="D24" s="3" t="str">
        <f aca="false">A24&amp;"|"&amp;B24</f>
        <v>30-59 DPD|6</v>
      </c>
    </row>
    <row r="25" customFormat="false" ht="15" hidden="false" customHeight="false" outlineLevel="0" collapsed="false">
      <c r="A25" s="14" t="s">
        <v>157</v>
      </c>
      <c r="B25" s="14" t="n">
        <v>6</v>
      </c>
      <c r="C25" s="30" t="n">
        <v>0.936907</v>
      </c>
      <c r="D25" s="3" t="str">
        <f aca="false">A25&amp;"|"&amp;B25</f>
        <v>60-89 DPD|6</v>
      </c>
    </row>
    <row r="26" customFormat="false" ht="15" hidden="false" customHeight="false" outlineLevel="0" collapsed="false">
      <c r="A26" s="14" t="s">
        <v>154</v>
      </c>
      <c r="B26" s="14" t="n">
        <v>7</v>
      </c>
      <c r="C26" s="30" t="n">
        <v>0.043916</v>
      </c>
      <c r="D26" s="3" t="str">
        <f aca="false">A26&amp;"|"&amp;B26</f>
        <v>Current|7</v>
      </c>
    </row>
    <row r="27" customFormat="false" ht="15" hidden="false" customHeight="false" outlineLevel="0" collapsed="false">
      <c r="A27" s="14" t="s">
        <v>155</v>
      </c>
      <c r="B27" s="14" t="n">
        <v>7</v>
      </c>
      <c r="C27" s="30" t="n">
        <v>0.087965</v>
      </c>
      <c r="D27" s="3" t="str">
        <f aca="false">A27&amp;"|"&amp;B27</f>
        <v>1-29 DPD|7</v>
      </c>
    </row>
    <row r="28" customFormat="false" ht="15" hidden="false" customHeight="false" outlineLevel="0" collapsed="false">
      <c r="A28" s="14" t="s">
        <v>156</v>
      </c>
      <c r="B28" s="14" t="n">
        <v>7</v>
      </c>
      <c r="C28" s="30" t="n">
        <v>0.88438</v>
      </c>
      <c r="D28" s="3" t="str">
        <f aca="false">A28&amp;"|"&amp;B28</f>
        <v>30-59 DPD|7</v>
      </c>
    </row>
    <row r="29" customFormat="false" ht="15" hidden="false" customHeight="false" outlineLevel="0" collapsed="false">
      <c r="A29" s="14" t="s">
        <v>157</v>
      </c>
      <c r="B29" s="14" t="n">
        <v>7</v>
      </c>
      <c r="C29" s="30" t="n">
        <v>0.960191</v>
      </c>
      <c r="D29" s="3" t="str">
        <f aca="false">A29&amp;"|"&amp;B29</f>
        <v>60-89 DPD|7</v>
      </c>
    </row>
    <row r="30" customFormat="false" ht="15" hidden="false" customHeight="false" outlineLevel="0" collapsed="false">
      <c r="A30" s="14" t="s">
        <v>154</v>
      </c>
      <c r="B30" s="14" t="n">
        <v>8</v>
      </c>
      <c r="C30" s="30" t="n">
        <v>0.056559</v>
      </c>
      <c r="D30" s="3" t="str">
        <f aca="false">A30&amp;"|"&amp;B30</f>
        <v>Current|8</v>
      </c>
    </row>
    <row r="31" customFormat="false" ht="15" hidden="false" customHeight="false" outlineLevel="0" collapsed="false">
      <c r="A31" s="14" t="s">
        <v>155</v>
      </c>
      <c r="B31" s="14" t="n">
        <v>8</v>
      </c>
      <c r="C31" s="30" t="n">
        <v>0.105228</v>
      </c>
      <c r="D31" s="3" t="str">
        <f aca="false">A31&amp;"|"&amp;B31</f>
        <v>1-29 DPD|8</v>
      </c>
    </row>
    <row r="32" customFormat="false" ht="15" hidden="false" customHeight="false" outlineLevel="0" collapsed="false">
      <c r="A32" s="14" t="s">
        <v>156</v>
      </c>
      <c r="B32" s="14" t="n">
        <v>8</v>
      </c>
      <c r="C32" s="30" t="n">
        <v>0.925498</v>
      </c>
      <c r="D32" s="3" t="str">
        <f aca="false">A32&amp;"|"&amp;B32</f>
        <v>30-59 DPD|8</v>
      </c>
    </row>
    <row r="33" customFormat="false" ht="15" hidden="false" customHeight="false" outlineLevel="0" collapsed="false">
      <c r="A33" s="14" t="s">
        <v>157</v>
      </c>
      <c r="B33" s="14" t="n">
        <v>8</v>
      </c>
      <c r="C33" s="30" t="n">
        <v>0.974883</v>
      </c>
      <c r="D33" s="3" t="str">
        <f aca="false">A33&amp;"|"&amp;B33</f>
        <v>60-89 DPD|8</v>
      </c>
    </row>
    <row r="34" customFormat="false" ht="15" hidden="false" customHeight="false" outlineLevel="0" collapsed="false">
      <c r="A34" s="14" t="s">
        <v>154</v>
      </c>
      <c r="B34" s="14" t="n">
        <v>9</v>
      </c>
      <c r="C34" s="30" t="n">
        <v>0.069669</v>
      </c>
      <c r="D34" s="3" t="str">
        <f aca="false">A34&amp;"|"&amp;B34</f>
        <v>Current|9</v>
      </c>
    </row>
    <row r="35" customFormat="false" ht="15" hidden="false" customHeight="false" outlineLevel="0" collapsed="false">
      <c r="A35" s="14" t="s">
        <v>155</v>
      </c>
      <c r="B35" s="14" t="n">
        <v>9</v>
      </c>
      <c r="C35" s="30" t="n">
        <v>0.121246</v>
      </c>
      <c r="D35" s="3" t="str">
        <f aca="false">A35&amp;"|"&amp;B35</f>
        <v>1-29 DPD|9</v>
      </c>
    </row>
    <row r="36" customFormat="false" ht="15" hidden="false" customHeight="false" outlineLevel="0" collapsed="false">
      <c r="A36" s="14" t="s">
        <v>156</v>
      </c>
      <c r="B36" s="14" t="n">
        <v>9</v>
      </c>
      <c r="C36" s="30" t="n">
        <v>0.952283</v>
      </c>
      <c r="D36" s="3" t="str">
        <f aca="false">A36&amp;"|"&amp;B36</f>
        <v>30-59 DPD|9</v>
      </c>
    </row>
    <row r="37" customFormat="false" ht="15" hidden="false" customHeight="false" outlineLevel="0" collapsed="false">
      <c r="A37" s="14" t="s">
        <v>157</v>
      </c>
      <c r="B37" s="14" t="n">
        <v>9</v>
      </c>
      <c r="C37" s="30" t="n">
        <v>0.984152</v>
      </c>
      <c r="D37" s="3" t="str">
        <f aca="false">A37&amp;"|"&amp;B37</f>
        <v>60-89 DPD|9</v>
      </c>
    </row>
    <row r="38" customFormat="false" ht="15" hidden="false" customHeight="false" outlineLevel="0" collapsed="false">
      <c r="A38" s="14" t="s">
        <v>154</v>
      </c>
      <c r="B38" s="14" t="n">
        <v>10</v>
      </c>
      <c r="C38" s="30" t="n">
        <v>0.083019</v>
      </c>
      <c r="D38" s="3" t="str">
        <f aca="false">A38&amp;"|"&amp;B38</f>
        <v>Current|10</v>
      </c>
    </row>
    <row r="39" customFormat="false" ht="15" hidden="false" customHeight="false" outlineLevel="0" collapsed="false">
      <c r="A39" s="14" t="s">
        <v>155</v>
      </c>
      <c r="B39" s="14" t="n">
        <v>10</v>
      </c>
      <c r="C39" s="30" t="n">
        <v>0.136261</v>
      </c>
      <c r="D39" s="3" t="str">
        <f aca="false">A39&amp;"|"&amp;B39</f>
        <v>1-29 DPD|10</v>
      </c>
    </row>
    <row r="40" customFormat="false" ht="15" hidden="false" customHeight="false" outlineLevel="0" collapsed="false">
      <c r="A40" s="14" t="s">
        <v>156</v>
      </c>
      <c r="B40" s="14" t="n">
        <v>10</v>
      </c>
      <c r="C40" s="30" t="n">
        <v>0.969568</v>
      </c>
      <c r="D40" s="3" t="str">
        <f aca="false">A40&amp;"|"&amp;B40</f>
        <v>30-59 DPD|10</v>
      </c>
    </row>
    <row r="41" customFormat="false" ht="15" hidden="false" customHeight="false" outlineLevel="0" collapsed="false">
      <c r="A41" s="14" t="s">
        <v>157</v>
      </c>
      <c r="B41" s="14" t="n">
        <v>10</v>
      </c>
      <c r="C41" s="30" t="n">
        <v>0.990001</v>
      </c>
      <c r="D41" s="3" t="str">
        <f aca="false">A41&amp;"|"&amp;B41</f>
        <v>60-89 DPD|10</v>
      </c>
    </row>
    <row r="42" customFormat="false" ht="15" hidden="false" customHeight="false" outlineLevel="0" collapsed="false">
      <c r="A42" s="14" t="s">
        <v>154</v>
      </c>
      <c r="B42" s="14" t="n">
        <v>11</v>
      </c>
      <c r="C42" s="30" t="n">
        <v>0.096454</v>
      </c>
      <c r="D42" s="3" t="str">
        <f aca="false">A42&amp;"|"&amp;B42</f>
        <v>Current|11</v>
      </c>
    </row>
    <row r="43" customFormat="false" ht="15" hidden="false" customHeight="false" outlineLevel="0" collapsed="false">
      <c r="A43" s="14" t="s">
        <v>155</v>
      </c>
      <c r="B43" s="14" t="n">
        <v>11</v>
      </c>
      <c r="C43" s="30" t="n">
        <v>0.150504</v>
      </c>
      <c r="D43" s="3" t="str">
        <f aca="false">A43&amp;"|"&amp;B43</f>
        <v>1-29 DPD|11</v>
      </c>
    </row>
    <row r="44" customFormat="false" ht="15" hidden="false" customHeight="false" outlineLevel="0" collapsed="false">
      <c r="A44" s="14" t="s">
        <v>156</v>
      </c>
      <c r="B44" s="14" t="n">
        <v>11</v>
      </c>
      <c r="C44" s="30" t="n">
        <v>0.98065</v>
      </c>
      <c r="D44" s="3" t="str">
        <f aca="false">A44&amp;"|"&amp;B44</f>
        <v>30-59 DPD|11</v>
      </c>
    </row>
    <row r="45" customFormat="false" ht="15" hidden="false" customHeight="false" outlineLevel="0" collapsed="false">
      <c r="A45" s="14" t="s">
        <v>157</v>
      </c>
      <c r="B45" s="14" t="n">
        <v>11</v>
      </c>
      <c r="C45" s="30" t="n">
        <v>0.993691</v>
      </c>
      <c r="D45" s="3" t="str">
        <f aca="false">A45&amp;"|"&amp;B45</f>
        <v>60-89 DPD|11</v>
      </c>
    </row>
    <row r="46" customFormat="false" ht="15" hidden="false" customHeight="false" outlineLevel="0" collapsed="false">
      <c r="A46" s="14" t="s">
        <v>154</v>
      </c>
      <c r="B46" s="14" t="n">
        <v>12</v>
      </c>
      <c r="C46" s="30" t="n">
        <v>0.109872</v>
      </c>
      <c r="D46" s="3" t="str">
        <f aca="false">A46&amp;"|"&amp;B46</f>
        <v>Current|12</v>
      </c>
    </row>
    <row r="47" customFormat="false" ht="15" hidden="false" customHeight="false" outlineLevel="0" collapsed="false">
      <c r="A47" s="14" t="s">
        <v>155</v>
      </c>
      <c r="B47" s="14" t="n">
        <v>12</v>
      </c>
      <c r="C47" s="30" t="n">
        <v>0.164153</v>
      </c>
      <c r="D47" s="3" t="str">
        <f aca="false">A47&amp;"|"&amp;B47</f>
        <v>1-29 DPD|12</v>
      </c>
    </row>
    <row r="48" customFormat="false" ht="15" hidden="false" customHeight="false" outlineLevel="0" collapsed="false">
      <c r="A48" s="14" t="s">
        <v>156</v>
      </c>
      <c r="B48" s="14" t="n">
        <v>12</v>
      </c>
      <c r="C48" s="30" t="n">
        <v>0.987723</v>
      </c>
      <c r="D48" s="3" t="str">
        <f aca="false">A48&amp;"|"&amp;B48</f>
        <v>30-59 DPD|12</v>
      </c>
    </row>
    <row r="49" customFormat="false" ht="15" hidden="false" customHeight="false" outlineLevel="0" collapsed="false">
      <c r="A49" s="14" t="s">
        <v>157</v>
      </c>
      <c r="B49" s="14" t="n">
        <v>12</v>
      </c>
      <c r="C49" s="30" t="n">
        <v>0.996019</v>
      </c>
      <c r="D49" s="3" t="str">
        <f aca="false">A49&amp;"|"&amp;B49</f>
        <v>60-89 DPD|12</v>
      </c>
    </row>
    <row r="50" customFormat="false" ht="15" hidden="false" customHeight="false" outlineLevel="0" collapsed="false">
      <c r="A50" s="14" t="s">
        <v>154</v>
      </c>
      <c r="B50" s="14" t="n">
        <v>13</v>
      </c>
      <c r="C50" s="30" t="n">
        <v>0.123206</v>
      </c>
      <c r="D50" s="3" t="str">
        <f aca="false">A50&amp;"|"&amp;B50</f>
        <v>Current|13</v>
      </c>
    </row>
    <row r="51" customFormat="false" ht="15" hidden="false" customHeight="false" outlineLevel="0" collapsed="false">
      <c r="A51" s="14" t="s">
        <v>155</v>
      </c>
      <c r="B51" s="14" t="n">
        <v>13</v>
      </c>
      <c r="C51" s="30" t="n">
        <v>0.177341</v>
      </c>
      <c r="D51" s="3" t="str">
        <f aca="false">A51&amp;"|"&amp;B51</f>
        <v>1-29 DPD|13</v>
      </c>
    </row>
    <row r="52" customFormat="false" ht="15" hidden="false" customHeight="false" outlineLevel="0" collapsed="false">
      <c r="A52" s="14" t="s">
        <v>156</v>
      </c>
      <c r="B52" s="14" t="n">
        <v>13</v>
      </c>
      <c r="C52" s="30" t="n">
        <v>0.992223</v>
      </c>
      <c r="D52" s="3" t="str">
        <f aca="false">A52&amp;"|"&amp;B52</f>
        <v>30-59 DPD|13</v>
      </c>
    </row>
    <row r="53" customFormat="false" ht="15" hidden="false" customHeight="false" outlineLevel="0" collapsed="false">
      <c r="A53" s="14" t="s">
        <v>157</v>
      </c>
      <c r="B53" s="14" t="n">
        <v>13</v>
      </c>
      <c r="C53" s="30" t="n">
        <v>0.997488</v>
      </c>
      <c r="D53" s="3" t="str">
        <f aca="false">A53&amp;"|"&amp;B53</f>
        <v>60-89 DPD|13</v>
      </c>
    </row>
    <row r="54" customFormat="false" ht="15" hidden="false" customHeight="false" outlineLevel="0" collapsed="false">
      <c r="A54" s="14" t="s">
        <v>154</v>
      </c>
      <c r="B54" s="14" t="n">
        <v>14</v>
      </c>
      <c r="C54" s="30" t="n">
        <v>0.136414</v>
      </c>
      <c r="D54" s="3" t="str">
        <f aca="false">A54&amp;"|"&amp;B54</f>
        <v>Current|14</v>
      </c>
    </row>
    <row r="55" customFormat="false" ht="15" hidden="false" customHeight="false" outlineLevel="0" collapsed="false">
      <c r="A55" s="14" t="s">
        <v>155</v>
      </c>
      <c r="B55" s="14" t="n">
        <v>14</v>
      </c>
      <c r="C55" s="30" t="n">
        <v>0.190163</v>
      </c>
      <c r="D55" s="3" t="str">
        <f aca="false">A55&amp;"|"&amp;B55</f>
        <v>1-29 DPD|14</v>
      </c>
    </row>
    <row r="56" customFormat="false" ht="15" hidden="false" customHeight="false" outlineLevel="0" collapsed="false">
      <c r="A56" s="14" t="s">
        <v>156</v>
      </c>
      <c r="B56" s="14" t="n">
        <v>14</v>
      </c>
      <c r="C56" s="30" t="n">
        <v>0.995079</v>
      </c>
      <c r="D56" s="3" t="str">
        <f aca="false">A56&amp;"|"&amp;B56</f>
        <v>30-59 DPD|14</v>
      </c>
    </row>
    <row r="57" customFormat="false" ht="15" hidden="false" customHeight="false" outlineLevel="0" collapsed="false">
      <c r="A57" s="14" t="s">
        <v>157</v>
      </c>
      <c r="B57" s="14" t="n">
        <v>14</v>
      </c>
      <c r="C57" s="30" t="n">
        <v>0.998415</v>
      </c>
      <c r="D57" s="3" t="str">
        <f aca="false">A57&amp;"|"&amp;B57</f>
        <v>60-89 DPD|14</v>
      </c>
    </row>
    <row r="58" customFormat="false" ht="15" hidden="false" customHeight="false" outlineLevel="0" collapsed="false">
      <c r="A58" s="14" t="s">
        <v>154</v>
      </c>
      <c r="B58" s="14" t="n">
        <v>15</v>
      </c>
      <c r="C58" s="30" t="n">
        <v>0.149471</v>
      </c>
      <c r="D58" s="3" t="str">
        <f aca="false">A58&amp;"|"&amp;B58</f>
        <v>Current|15</v>
      </c>
    </row>
    <row r="59" customFormat="false" ht="15" hidden="false" customHeight="false" outlineLevel="0" collapsed="false">
      <c r="A59" s="14" t="s">
        <v>155</v>
      </c>
      <c r="B59" s="14" t="n">
        <v>15</v>
      </c>
      <c r="C59" s="30" t="n">
        <v>0.202681</v>
      </c>
      <c r="D59" s="3" t="str">
        <f aca="false">A59&amp;"|"&amp;B59</f>
        <v>1-29 DPD|15</v>
      </c>
    </row>
    <row r="60" customFormat="false" ht="15" hidden="false" customHeight="false" outlineLevel="0" collapsed="false">
      <c r="A60" s="14" t="s">
        <v>156</v>
      </c>
      <c r="B60" s="14" t="n">
        <v>15</v>
      </c>
      <c r="C60" s="30" t="n">
        <v>0.996888</v>
      </c>
      <c r="D60" s="3" t="str">
        <f aca="false">A60&amp;"|"&amp;B60</f>
        <v>30-59 DPD|15</v>
      </c>
    </row>
    <row r="61" customFormat="false" ht="15" hidden="false" customHeight="false" outlineLevel="0" collapsed="false">
      <c r="A61" s="14" t="s">
        <v>157</v>
      </c>
      <c r="B61" s="14" t="n">
        <v>15</v>
      </c>
      <c r="C61" s="30" t="n">
        <v>0.999</v>
      </c>
      <c r="D61" s="3" t="str">
        <f aca="false">A61&amp;"|"&amp;B61</f>
        <v>60-89 DPD|15</v>
      </c>
    </row>
    <row r="62" customFormat="false" ht="15" hidden="false" customHeight="false" outlineLevel="0" collapsed="false">
      <c r="A62" s="14" t="s">
        <v>154</v>
      </c>
      <c r="B62" s="14" t="n">
        <v>16</v>
      </c>
      <c r="C62" s="30" t="n">
        <v>0.162361</v>
      </c>
      <c r="D62" s="3" t="str">
        <f aca="false">A62&amp;"|"&amp;B62</f>
        <v>Current|16</v>
      </c>
    </row>
    <row r="63" customFormat="false" ht="15" hidden="false" customHeight="false" outlineLevel="0" collapsed="false">
      <c r="A63" s="14" t="s">
        <v>155</v>
      </c>
      <c r="B63" s="14" t="n">
        <v>16</v>
      </c>
      <c r="C63" s="30" t="n">
        <v>0.214938</v>
      </c>
      <c r="D63" s="3" t="str">
        <f aca="false">A63&amp;"|"&amp;B63</f>
        <v>1-29 DPD|16</v>
      </c>
    </row>
    <row r="64" customFormat="false" ht="15" hidden="false" customHeight="false" outlineLevel="0" collapsed="false">
      <c r="A64" s="14" t="s">
        <v>156</v>
      </c>
      <c r="B64" s="14" t="n">
        <v>16</v>
      </c>
      <c r="C64" s="30" t="n">
        <v>0.998034</v>
      </c>
      <c r="D64" s="3" t="str">
        <f aca="false">A64&amp;"|"&amp;B64</f>
        <v>30-59 DPD|16</v>
      </c>
    </row>
    <row r="65" customFormat="false" ht="15" hidden="false" customHeight="false" outlineLevel="0" collapsed="false">
      <c r="A65" s="14" t="s">
        <v>157</v>
      </c>
      <c r="B65" s="14" t="n">
        <v>16</v>
      </c>
      <c r="C65" s="30" t="n">
        <v>0.999369</v>
      </c>
      <c r="D65" s="3" t="str">
        <f aca="false">A65&amp;"|"&amp;B65</f>
        <v>60-89 DPD|16</v>
      </c>
    </row>
    <row r="66" customFormat="false" ht="15" hidden="false" customHeight="false" outlineLevel="0" collapsed="false">
      <c r="A66" s="14" t="s">
        <v>154</v>
      </c>
      <c r="B66" s="14" t="n">
        <v>17</v>
      </c>
      <c r="C66" s="30" t="n">
        <v>0.175074</v>
      </c>
      <c r="D66" s="3" t="str">
        <f aca="false">A66&amp;"|"&amp;B66</f>
        <v>Current|17</v>
      </c>
    </row>
    <row r="67" customFormat="false" ht="15" hidden="false" customHeight="false" outlineLevel="0" collapsed="false">
      <c r="A67" s="14" t="s">
        <v>155</v>
      </c>
      <c r="B67" s="14" t="n">
        <v>17</v>
      </c>
      <c r="C67" s="30" t="n">
        <v>0.226964</v>
      </c>
      <c r="D67" s="3" t="str">
        <f aca="false">A67&amp;"|"&amp;B67</f>
        <v>1-29 DPD|17</v>
      </c>
    </row>
    <row r="68" customFormat="false" ht="15" hidden="false" customHeight="false" outlineLevel="0" collapsed="false">
      <c r="A68" s="14" t="s">
        <v>156</v>
      </c>
      <c r="B68" s="14" t="n">
        <v>17</v>
      </c>
      <c r="C68" s="30" t="n">
        <v>0.998758</v>
      </c>
      <c r="D68" s="3" t="str">
        <f aca="false">A68&amp;"|"&amp;B68</f>
        <v>30-59 DPD|17</v>
      </c>
    </row>
    <row r="69" customFormat="false" ht="15" hidden="false" customHeight="false" outlineLevel="0" collapsed="false">
      <c r="A69" s="14" t="s">
        <v>157</v>
      </c>
      <c r="B69" s="14" t="n">
        <v>17</v>
      </c>
      <c r="C69" s="30" t="n">
        <v>0.999602</v>
      </c>
      <c r="D69" s="3" t="str">
        <f aca="false">A69&amp;"|"&amp;B69</f>
        <v>60-89 DPD|17</v>
      </c>
    </row>
    <row r="70" customFormat="false" ht="15" hidden="false" customHeight="false" outlineLevel="0" collapsed="false">
      <c r="A70" s="14" t="s">
        <v>154</v>
      </c>
      <c r="B70" s="14" t="n">
        <v>18</v>
      </c>
      <c r="C70" s="30" t="n">
        <v>0.187606</v>
      </c>
      <c r="D70" s="3" t="str">
        <f aca="false">A70&amp;"|"&amp;B70</f>
        <v>Current|18</v>
      </c>
    </row>
    <row r="71" customFormat="false" ht="15" hidden="false" customHeight="false" outlineLevel="0" collapsed="false">
      <c r="A71" s="14" t="s">
        <v>155</v>
      </c>
      <c r="B71" s="14" t="n">
        <v>18</v>
      </c>
      <c r="C71" s="30" t="n">
        <v>0.238778</v>
      </c>
      <c r="D71" s="3" t="str">
        <f aca="false">A71&amp;"|"&amp;B71</f>
        <v>1-29 DPD|18</v>
      </c>
    </row>
    <row r="72" customFormat="false" ht="15" hidden="false" customHeight="false" outlineLevel="0" collapsed="false">
      <c r="A72" s="14" t="s">
        <v>156</v>
      </c>
      <c r="B72" s="14" t="n">
        <v>18</v>
      </c>
      <c r="C72" s="30" t="n">
        <v>0.999216</v>
      </c>
      <c r="D72" s="3" t="str">
        <f aca="false">A72&amp;"|"&amp;B72</f>
        <v>30-59 DPD|18</v>
      </c>
    </row>
    <row r="73" customFormat="false" ht="15" hidden="false" customHeight="false" outlineLevel="0" collapsed="false">
      <c r="A73" s="14" t="s">
        <v>157</v>
      </c>
      <c r="B73" s="14" t="n">
        <v>18</v>
      </c>
      <c r="C73" s="30" t="n">
        <v>0.999749</v>
      </c>
      <c r="D73" s="3" t="str">
        <f aca="false">A73&amp;"|"&amp;B73</f>
        <v>60-89 DPD|18</v>
      </c>
    </row>
    <row r="74" customFormat="false" ht="15" hidden="false" customHeight="false" outlineLevel="0" collapsed="false">
      <c r="A74" s="14" t="s">
        <v>154</v>
      </c>
      <c r="B74" s="14" t="n">
        <v>19</v>
      </c>
      <c r="C74" s="30" t="n">
        <v>0.199956</v>
      </c>
      <c r="D74" s="3" t="str">
        <f aca="false">A74&amp;"|"&amp;B74</f>
        <v>Current|19</v>
      </c>
    </row>
    <row r="75" customFormat="false" ht="15" hidden="false" customHeight="false" outlineLevel="0" collapsed="false">
      <c r="A75" s="14" t="s">
        <v>155</v>
      </c>
      <c r="B75" s="14" t="n">
        <v>19</v>
      </c>
      <c r="C75" s="30" t="n">
        <v>0.250394</v>
      </c>
      <c r="D75" s="3" t="str">
        <f aca="false">A75&amp;"|"&amp;B75</f>
        <v>1-29 DPD|19</v>
      </c>
    </row>
    <row r="76" customFormat="false" ht="15" hidden="false" customHeight="false" outlineLevel="0" collapsed="false">
      <c r="A76" s="14" t="s">
        <v>156</v>
      </c>
      <c r="B76" s="14" t="n">
        <v>19</v>
      </c>
      <c r="C76" s="30" t="n">
        <v>0.999505</v>
      </c>
      <c r="D76" s="3" t="str">
        <f aca="false">A76&amp;"|"&amp;B76</f>
        <v>30-59 DPD|19</v>
      </c>
    </row>
    <row r="77" customFormat="false" ht="15" hidden="false" customHeight="false" outlineLevel="0" collapsed="false">
      <c r="A77" s="14" t="s">
        <v>157</v>
      </c>
      <c r="B77" s="14" t="n">
        <v>19</v>
      </c>
      <c r="C77" s="30" t="n">
        <v>0.999842</v>
      </c>
      <c r="D77" s="3" t="str">
        <f aca="false">A77&amp;"|"&amp;B77</f>
        <v>60-89 DPD|19</v>
      </c>
    </row>
    <row r="78" customFormat="false" ht="15" hidden="false" customHeight="false" outlineLevel="0" collapsed="false">
      <c r="A78" s="14" t="s">
        <v>154</v>
      </c>
      <c r="B78" s="14" t="n">
        <v>20</v>
      </c>
      <c r="C78" s="30" t="n">
        <v>0.212123</v>
      </c>
      <c r="D78" s="3" t="str">
        <f aca="false">A78&amp;"|"&amp;B78</f>
        <v>Current|20</v>
      </c>
    </row>
    <row r="79" customFormat="false" ht="15" hidden="false" customHeight="false" outlineLevel="0" collapsed="false">
      <c r="A79" s="14" t="s">
        <v>155</v>
      </c>
      <c r="B79" s="14" t="n">
        <v>20</v>
      </c>
      <c r="C79" s="30" t="n">
        <v>0.261822</v>
      </c>
      <c r="D79" s="3" t="str">
        <f aca="false">A79&amp;"|"&amp;B79</f>
        <v>1-29 DPD|20</v>
      </c>
    </row>
    <row r="80" customFormat="false" ht="15" hidden="false" customHeight="false" outlineLevel="0" collapsed="false">
      <c r="A80" s="14" t="s">
        <v>156</v>
      </c>
      <c r="B80" s="14" t="n">
        <v>20</v>
      </c>
      <c r="C80" s="30" t="n">
        <v>0.999687</v>
      </c>
      <c r="D80" s="3" t="str">
        <f aca="false">A80&amp;"|"&amp;B80</f>
        <v>30-59 DPD|20</v>
      </c>
    </row>
    <row r="81" customFormat="false" ht="15" hidden="false" customHeight="false" outlineLevel="0" collapsed="false">
      <c r="A81" s="14" t="s">
        <v>157</v>
      </c>
      <c r="B81" s="14" t="n">
        <v>20</v>
      </c>
      <c r="C81" s="30" t="n">
        <v>0.9999</v>
      </c>
      <c r="D81" s="3" t="str">
        <f aca="false">A81&amp;"|"&amp;B81</f>
        <v>60-89 DPD|20</v>
      </c>
    </row>
    <row r="82" customFormat="false" ht="15" hidden="false" customHeight="false" outlineLevel="0" collapsed="false">
      <c r="A82" s="14" t="s">
        <v>154</v>
      </c>
      <c r="B82" s="14" t="n">
        <v>21</v>
      </c>
      <c r="C82" s="30" t="n">
        <v>0.224108</v>
      </c>
      <c r="D82" s="3" t="str">
        <f aca="false">A82&amp;"|"&amp;B82</f>
        <v>Current|21</v>
      </c>
    </row>
    <row r="83" customFormat="false" ht="15" hidden="false" customHeight="false" outlineLevel="0" collapsed="false">
      <c r="A83" s="14" t="s">
        <v>155</v>
      </c>
      <c r="B83" s="14" t="n">
        <v>21</v>
      </c>
      <c r="C83" s="30" t="n">
        <v>0.273068</v>
      </c>
      <c r="D83" s="3" t="str">
        <f aca="false">A83&amp;"|"&amp;B83</f>
        <v>1-29 DPD|21</v>
      </c>
    </row>
    <row r="84" customFormat="false" ht="15" hidden="false" customHeight="false" outlineLevel="0" collapsed="false">
      <c r="A84" s="14" t="s">
        <v>156</v>
      </c>
      <c r="B84" s="14" t="n">
        <v>21</v>
      </c>
      <c r="C84" s="30" t="n">
        <v>0.999803</v>
      </c>
      <c r="D84" s="3" t="str">
        <f aca="false">A84&amp;"|"&amp;B84</f>
        <v>30-59 DPD|21</v>
      </c>
    </row>
    <row r="85" customFormat="false" ht="15" hidden="false" customHeight="false" outlineLevel="0" collapsed="false">
      <c r="A85" s="14" t="s">
        <v>157</v>
      </c>
      <c r="B85" s="14" t="n">
        <v>21</v>
      </c>
      <c r="C85" s="30" t="n">
        <v>0.999937</v>
      </c>
      <c r="D85" s="3" t="str">
        <f aca="false">A85&amp;"|"&amp;B85</f>
        <v>60-89 DPD|21</v>
      </c>
    </row>
    <row r="86" customFormat="false" ht="15" hidden="false" customHeight="false" outlineLevel="0" collapsed="false">
      <c r="A86" s="14" t="s">
        <v>154</v>
      </c>
      <c r="B86" s="14" t="n">
        <v>22</v>
      </c>
      <c r="C86" s="30" t="n">
        <v>0.235912</v>
      </c>
      <c r="D86" s="3" t="str">
        <f aca="false">A86&amp;"|"&amp;B86</f>
        <v>Current|22</v>
      </c>
    </row>
    <row r="87" customFormat="false" ht="15" hidden="false" customHeight="false" outlineLevel="0" collapsed="false">
      <c r="A87" s="14" t="s">
        <v>155</v>
      </c>
      <c r="B87" s="14" t="n">
        <v>22</v>
      </c>
      <c r="C87" s="30" t="n">
        <v>0.284139</v>
      </c>
      <c r="D87" s="3" t="str">
        <f aca="false">A87&amp;"|"&amp;B87</f>
        <v>1-29 DPD|22</v>
      </c>
    </row>
    <row r="88" customFormat="false" ht="15" hidden="false" customHeight="false" outlineLevel="0" collapsed="false">
      <c r="A88" s="14" t="s">
        <v>156</v>
      </c>
      <c r="B88" s="14" t="n">
        <v>22</v>
      </c>
      <c r="C88" s="30" t="n">
        <v>0.999876</v>
      </c>
      <c r="D88" s="3" t="str">
        <f aca="false">A88&amp;"|"&amp;B88</f>
        <v>30-59 DPD|22</v>
      </c>
    </row>
    <row r="89" customFormat="false" ht="15" hidden="false" customHeight="false" outlineLevel="0" collapsed="false">
      <c r="A89" s="14" t="s">
        <v>157</v>
      </c>
      <c r="B89" s="14" t="n">
        <v>22</v>
      </c>
      <c r="C89" s="30" t="n">
        <v>0.99996</v>
      </c>
      <c r="D89" s="3" t="str">
        <f aca="false">A89&amp;"|"&amp;B89</f>
        <v>60-89 DPD|22</v>
      </c>
    </row>
    <row r="90" customFormat="false" ht="15" hidden="false" customHeight="false" outlineLevel="0" collapsed="false">
      <c r="A90" s="14" t="s">
        <v>154</v>
      </c>
      <c r="B90" s="14" t="n">
        <v>23</v>
      </c>
      <c r="C90" s="30" t="n">
        <v>0.247538</v>
      </c>
      <c r="D90" s="3" t="str">
        <f aca="false">A90&amp;"|"&amp;B90</f>
        <v>Current|23</v>
      </c>
    </row>
    <row r="91" customFormat="false" ht="15" hidden="false" customHeight="false" outlineLevel="0" collapsed="false">
      <c r="A91" s="14" t="s">
        <v>155</v>
      </c>
      <c r="B91" s="14" t="n">
        <v>23</v>
      </c>
      <c r="C91" s="30" t="n">
        <v>0.295038</v>
      </c>
      <c r="D91" s="3" t="str">
        <f aca="false">A91&amp;"|"&amp;B91</f>
        <v>1-29 DPD|23</v>
      </c>
    </row>
    <row r="92" customFormat="false" ht="15" hidden="false" customHeight="false" outlineLevel="0" collapsed="false">
      <c r="A92" s="14" t="s">
        <v>156</v>
      </c>
      <c r="B92" s="14" t="n">
        <v>23</v>
      </c>
      <c r="C92" s="30" t="n">
        <v>0.999921</v>
      </c>
      <c r="D92" s="3" t="str">
        <f aca="false">A92&amp;"|"&amp;B92</f>
        <v>30-59 DPD|23</v>
      </c>
    </row>
    <row r="93" customFormat="false" ht="15" hidden="false" customHeight="false" outlineLevel="0" collapsed="false">
      <c r="A93" s="14" t="s">
        <v>157</v>
      </c>
      <c r="B93" s="14" t="n">
        <v>23</v>
      </c>
      <c r="C93" s="30" t="n">
        <v>0.999975</v>
      </c>
      <c r="D93" s="3" t="str">
        <f aca="false">A93&amp;"|"&amp;B93</f>
        <v>60-89 DPD|23</v>
      </c>
    </row>
    <row r="94" customFormat="false" ht="15" hidden="false" customHeight="false" outlineLevel="0" collapsed="false">
      <c r="A94" s="14" t="s">
        <v>154</v>
      </c>
      <c r="B94" s="14" t="n">
        <v>24</v>
      </c>
      <c r="C94" s="30" t="n">
        <v>0.258988</v>
      </c>
      <c r="D94" s="3" t="str">
        <f aca="false">A94&amp;"|"&amp;B94</f>
        <v>Current|24</v>
      </c>
    </row>
    <row r="95" customFormat="false" ht="15" hidden="false" customHeight="false" outlineLevel="0" collapsed="false">
      <c r="A95" s="14" t="s">
        <v>155</v>
      </c>
      <c r="B95" s="14" t="n">
        <v>24</v>
      </c>
      <c r="C95" s="30" t="n">
        <v>0.30577</v>
      </c>
      <c r="D95" s="3" t="str">
        <f aca="false">A95&amp;"|"&amp;B95</f>
        <v>1-29 DPD|24</v>
      </c>
    </row>
    <row r="96" customFormat="false" ht="15" hidden="false" customHeight="false" outlineLevel="0" collapsed="false">
      <c r="A96" s="14" t="s">
        <v>156</v>
      </c>
      <c r="B96" s="14" t="n">
        <v>24</v>
      </c>
      <c r="C96" s="30" t="n">
        <v>0.99995</v>
      </c>
      <c r="D96" s="3" t="str">
        <f aca="false">A96&amp;"|"&amp;B96</f>
        <v>30-59 DPD|24</v>
      </c>
    </row>
    <row r="97" customFormat="false" ht="15" hidden="false" customHeight="false" outlineLevel="0" collapsed="false">
      <c r="A97" s="14" t="s">
        <v>157</v>
      </c>
      <c r="B97" s="14" t="n">
        <v>24</v>
      </c>
      <c r="C97" s="30" t="n">
        <v>0.999984</v>
      </c>
      <c r="D97" s="3" t="str">
        <f aca="false">A97&amp;"|"&amp;B97</f>
        <v>60-89 DPD|24</v>
      </c>
    </row>
    <row r="98" customFormat="false" ht="15" hidden="false" customHeight="false" outlineLevel="0" collapsed="false">
      <c r="A98" s="14" t="s">
        <v>154</v>
      </c>
      <c r="B98" s="14" t="n">
        <v>25</v>
      </c>
      <c r="C98" s="30" t="n">
        <v>0.270264</v>
      </c>
      <c r="D98" s="3" t="str">
        <f aca="false">A98&amp;"|"&amp;B98</f>
        <v>Current|25</v>
      </c>
    </row>
    <row r="99" customFormat="false" ht="15" hidden="false" customHeight="false" outlineLevel="0" collapsed="false">
      <c r="A99" s="14" t="s">
        <v>155</v>
      </c>
      <c r="B99" s="14" t="n">
        <v>25</v>
      </c>
      <c r="C99" s="30" t="n">
        <v>0.316337</v>
      </c>
      <c r="D99" s="3" t="str">
        <f aca="false">A99&amp;"|"&amp;B99</f>
        <v>1-29 DPD|25</v>
      </c>
    </row>
    <row r="100" customFormat="false" ht="15" hidden="false" customHeight="false" outlineLevel="0" collapsed="false">
      <c r="A100" s="14" t="s">
        <v>156</v>
      </c>
      <c r="B100" s="14" t="n">
        <v>25</v>
      </c>
      <c r="C100" s="30" t="n">
        <v>0.999969</v>
      </c>
      <c r="D100" s="3" t="str">
        <f aca="false">A100&amp;"|"&amp;B100</f>
        <v>30-59 DPD|25</v>
      </c>
    </row>
    <row r="101" customFormat="false" ht="15" hidden="false" customHeight="false" outlineLevel="0" collapsed="false">
      <c r="A101" s="14" t="s">
        <v>157</v>
      </c>
      <c r="B101" s="14" t="n">
        <v>25</v>
      </c>
      <c r="C101" s="30" t="n">
        <v>0.99999</v>
      </c>
      <c r="D101" s="3" t="str">
        <f aca="false">A101&amp;"|"&amp;B101</f>
        <v>60-89 DPD|25</v>
      </c>
    </row>
    <row r="102" customFormat="false" ht="15" hidden="false" customHeight="false" outlineLevel="0" collapsed="false">
      <c r="A102" s="14" t="s">
        <v>154</v>
      </c>
      <c r="B102" s="14" t="n">
        <v>26</v>
      </c>
      <c r="C102" s="30" t="n">
        <v>0.281369</v>
      </c>
      <c r="D102" s="3" t="str">
        <f aca="false">A102&amp;"|"&amp;B102</f>
        <v>Current|26</v>
      </c>
    </row>
    <row r="103" customFormat="false" ht="15" hidden="false" customHeight="false" outlineLevel="0" collapsed="false">
      <c r="A103" s="14" t="s">
        <v>155</v>
      </c>
      <c r="B103" s="14" t="n">
        <v>26</v>
      </c>
      <c r="C103" s="30" t="n">
        <v>0.326743</v>
      </c>
      <c r="D103" s="3" t="str">
        <f aca="false">A103&amp;"|"&amp;B103</f>
        <v>1-29 DPD|26</v>
      </c>
    </row>
    <row r="104" customFormat="false" ht="15" hidden="false" customHeight="false" outlineLevel="0" collapsed="false">
      <c r="A104" s="14" t="s">
        <v>156</v>
      </c>
      <c r="B104" s="14" t="n">
        <v>26</v>
      </c>
      <c r="C104" s="30" t="n">
        <v>0.99998</v>
      </c>
      <c r="D104" s="3" t="str">
        <f aca="false">A104&amp;"|"&amp;B104</f>
        <v>30-59 DPD|26</v>
      </c>
    </row>
    <row r="105" customFormat="false" ht="15" hidden="false" customHeight="false" outlineLevel="0" collapsed="false">
      <c r="A105" s="14" t="s">
        <v>157</v>
      </c>
      <c r="B105" s="14" t="n">
        <v>26</v>
      </c>
      <c r="C105" s="30" t="n">
        <v>0.999994</v>
      </c>
      <c r="D105" s="3" t="str">
        <f aca="false">A105&amp;"|"&amp;B105</f>
        <v>60-89 DPD|26</v>
      </c>
    </row>
    <row r="106" customFormat="false" ht="15" hidden="false" customHeight="false" outlineLevel="0" collapsed="false">
      <c r="A106" s="14" t="s">
        <v>154</v>
      </c>
      <c r="B106" s="14" t="n">
        <v>27</v>
      </c>
      <c r="C106" s="30" t="n">
        <v>0.292305</v>
      </c>
      <c r="D106" s="3" t="str">
        <f aca="false">A106&amp;"|"&amp;B106</f>
        <v>Current|27</v>
      </c>
    </row>
    <row r="107" customFormat="false" ht="15" hidden="false" customHeight="false" outlineLevel="0" collapsed="false">
      <c r="A107" s="14" t="s">
        <v>155</v>
      </c>
      <c r="B107" s="14" t="n">
        <v>27</v>
      </c>
      <c r="C107" s="30" t="n">
        <v>0.336989</v>
      </c>
      <c r="D107" s="3" t="str">
        <f aca="false">A107&amp;"|"&amp;B107</f>
        <v>1-29 DPD|27</v>
      </c>
    </row>
    <row r="108" customFormat="false" ht="15" hidden="false" customHeight="false" outlineLevel="0" collapsed="false">
      <c r="A108" s="14" t="s">
        <v>156</v>
      </c>
      <c r="B108" s="14" t="n">
        <v>27</v>
      </c>
      <c r="C108" s="30" t="n">
        <v>0.999988</v>
      </c>
      <c r="D108" s="3" t="str">
        <f aca="false">A108&amp;"|"&amp;B108</f>
        <v>30-59 DPD|27</v>
      </c>
    </row>
    <row r="109" customFormat="false" ht="15" hidden="false" customHeight="false" outlineLevel="0" collapsed="false">
      <c r="A109" s="14" t="s">
        <v>157</v>
      </c>
      <c r="B109" s="14" t="n">
        <v>27</v>
      </c>
      <c r="C109" s="30" t="n">
        <v>0.999996</v>
      </c>
      <c r="D109" s="3" t="str">
        <f aca="false">A109&amp;"|"&amp;B109</f>
        <v>60-89 DPD|27</v>
      </c>
    </row>
    <row r="110" customFormat="false" ht="15" hidden="false" customHeight="false" outlineLevel="0" collapsed="false">
      <c r="A110" s="14" t="s">
        <v>154</v>
      </c>
      <c r="B110" s="14" t="n">
        <v>28</v>
      </c>
      <c r="C110" s="30" t="n">
        <v>0.303075</v>
      </c>
      <c r="D110" s="3" t="str">
        <f aca="false">A110&amp;"|"&amp;B110</f>
        <v>Current|28</v>
      </c>
    </row>
    <row r="111" customFormat="false" ht="15" hidden="false" customHeight="false" outlineLevel="0" collapsed="false">
      <c r="A111" s="14" t="s">
        <v>155</v>
      </c>
      <c r="B111" s="14" t="n">
        <v>28</v>
      </c>
      <c r="C111" s="30" t="n">
        <v>0.34708</v>
      </c>
      <c r="D111" s="3" t="str">
        <f aca="false">A111&amp;"|"&amp;B111</f>
        <v>1-29 DPD|28</v>
      </c>
    </row>
    <row r="112" customFormat="false" ht="15" hidden="false" customHeight="false" outlineLevel="0" collapsed="false">
      <c r="A112" s="14" t="s">
        <v>156</v>
      </c>
      <c r="B112" s="14" t="n">
        <v>28</v>
      </c>
      <c r="C112" s="30" t="n">
        <v>0.999992</v>
      </c>
      <c r="D112" s="3" t="str">
        <f aca="false">A112&amp;"|"&amp;B112</f>
        <v>30-59 DPD|28</v>
      </c>
    </row>
    <row r="113" customFormat="false" ht="15" hidden="false" customHeight="false" outlineLevel="0" collapsed="false">
      <c r="A113" s="14" t="s">
        <v>157</v>
      </c>
      <c r="B113" s="14" t="n">
        <v>28</v>
      </c>
      <c r="C113" s="30" t="n">
        <v>0.999997</v>
      </c>
      <c r="D113" s="3" t="str">
        <f aca="false">A113&amp;"|"&amp;B113</f>
        <v>60-89 DPD|28</v>
      </c>
    </row>
    <row r="114" customFormat="false" ht="15" hidden="false" customHeight="false" outlineLevel="0" collapsed="false">
      <c r="A114" s="14" t="s">
        <v>154</v>
      </c>
      <c r="B114" s="14" t="n">
        <v>29</v>
      </c>
      <c r="C114" s="30" t="n">
        <v>0.313681</v>
      </c>
      <c r="D114" s="3" t="str">
        <f aca="false">A114&amp;"|"&amp;B114</f>
        <v>Current|29</v>
      </c>
    </row>
    <row r="115" customFormat="false" ht="15" hidden="false" customHeight="false" outlineLevel="0" collapsed="false">
      <c r="A115" s="14" t="s">
        <v>155</v>
      </c>
      <c r="B115" s="14" t="n">
        <v>29</v>
      </c>
      <c r="C115" s="30" t="n">
        <v>0.357016</v>
      </c>
      <c r="D115" s="3" t="str">
        <f aca="false">A115&amp;"|"&amp;B115</f>
        <v>1-29 DPD|29</v>
      </c>
    </row>
    <row r="116" customFormat="false" ht="15" hidden="false" customHeight="false" outlineLevel="0" collapsed="false">
      <c r="A116" s="14" t="s">
        <v>156</v>
      </c>
      <c r="B116" s="14" t="n">
        <v>29</v>
      </c>
      <c r="C116" s="30" t="n">
        <v>0.999995</v>
      </c>
      <c r="D116" s="3" t="str">
        <f aca="false">A116&amp;"|"&amp;B116</f>
        <v>30-59 DPD|29</v>
      </c>
    </row>
    <row r="117" customFormat="false" ht="15" hidden="false" customHeight="false" outlineLevel="0" collapsed="false">
      <c r="A117" s="14" t="s">
        <v>157</v>
      </c>
      <c r="B117" s="14" t="n">
        <v>29</v>
      </c>
      <c r="C117" s="30" t="n">
        <v>0.999998</v>
      </c>
      <c r="D117" s="3" t="str">
        <f aca="false">A117&amp;"|"&amp;B117</f>
        <v>60-89 DPD|29</v>
      </c>
    </row>
    <row r="118" customFormat="false" ht="15" hidden="false" customHeight="false" outlineLevel="0" collapsed="false">
      <c r="A118" s="14" t="s">
        <v>154</v>
      </c>
      <c r="B118" s="14" t="n">
        <v>30</v>
      </c>
      <c r="C118" s="30" t="n">
        <v>0.324125</v>
      </c>
      <c r="D118" s="3" t="str">
        <f aca="false">A118&amp;"|"&amp;B118</f>
        <v>Current|30</v>
      </c>
    </row>
    <row r="119" customFormat="false" ht="15" hidden="false" customHeight="false" outlineLevel="0" collapsed="false">
      <c r="A119" s="14" t="s">
        <v>155</v>
      </c>
      <c r="B119" s="14" t="n">
        <v>30</v>
      </c>
      <c r="C119" s="30" t="n">
        <v>0.366802</v>
      </c>
      <c r="D119" s="3" t="str">
        <f aca="false">A119&amp;"|"&amp;B119</f>
        <v>1-29 DPD|30</v>
      </c>
    </row>
    <row r="120" customFormat="false" ht="15" hidden="false" customHeight="false" outlineLevel="0" collapsed="false">
      <c r="A120" s="14" t="s">
        <v>156</v>
      </c>
      <c r="B120" s="14" t="n">
        <v>30</v>
      </c>
      <c r="C120" s="30" t="n">
        <v>0.999997</v>
      </c>
      <c r="D120" s="3" t="str">
        <f aca="false">A120&amp;"|"&amp;B120</f>
        <v>30-59 DPD|30</v>
      </c>
    </row>
    <row r="121" customFormat="false" ht="15" hidden="false" customHeight="false" outlineLevel="0" collapsed="false">
      <c r="A121" s="14" t="s">
        <v>157</v>
      </c>
      <c r="B121" s="14" t="n">
        <v>30</v>
      </c>
      <c r="C121" s="30" t="n">
        <v>0.999999</v>
      </c>
      <c r="D121" s="3" t="str">
        <f aca="false">A121&amp;"|"&amp;B121</f>
        <v>60-89 DPD|30</v>
      </c>
    </row>
    <row r="122" customFormat="false" ht="15" hidden="false" customHeight="false" outlineLevel="0" collapsed="false">
      <c r="A122" s="14" t="s">
        <v>154</v>
      </c>
      <c r="B122" s="14" t="n">
        <v>31</v>
      </c>
      <c r="C122" s="30" t="n">
        <v>0.334411</v>
      </c>
      <c r="D122" s="3" t="str">
        <f aca="false">A122&amp;"|"&amp;B122</f>
        <v>Current|31</v>
      </c>
    </row>
    <row r="123" customFormat="false" ht="15" hidden="false" customHeight="false" outlineLevel="0" collapsed="false">
      <c r="A123" s="14" t="s">
        <v>155</v>
      </c>
      <c r="B123" s="14" t="n">
        <v>31</v>
      </c>
      <c r="C123" s="30" t="n">
        <v>0.376438</v>
      </c>
      <c r="D123" s="3" t="str">
        <f aca="false">A123&amp;"|"&amp;B123</f>
        <v>1-29 DPD|31</v>
      </c>
    </row>
    <row r="124" customFormat="false" ht="15" hidden="false" customHeight="false" outlineLevel="0" collapsed="false">
      <c r="A124" s="14" t="s">
        <v>156</v>
      </c>
      <c r="B124" s="14" t="n">
        <v>31</v>
      </c>
      <c r="C124" s="30" t="n">
        <v>0.999998</v>
      </c>
      <c r="D124" s="3" t="str">
        <f aca="false">A124&amp;"|"&amp;B124</f>
        <v>30-59 DPD|31</v>
      </c>
    </row>
    <row r="125" customFormat="false" ht="15" hidden="false" customHeight="false" outlineLevel="0" collapsed="false">
      <c r="A125" s="14" t="s">
        <v>157</v>
      </c>
      <c r="B125" s="14" t="n">
        <v>31</v>
      </c>
      <c r="C125" s="30" t="n">
        <v>0.999999</v>
      </c>
      <c r="D125" s="3" t="str">
        <f aca="false">A125&amp;"|"&amp;B125</f>
        <v>60-89 DPD|31</v>
      </c>
    </row>
    <row r="126" customFormat="false" ht="15" hidden="false" customHeight="false" outlineLevel="0" collapsed="false">
      <c r="A126" s="14" t="s">
        <v>154</v>
      </c>
      <c r="B126" s="14" t="n">
        <v>32</v>
      </c>
      <c r="C126" s="30" t="n">
        <v>0.34454</v>
      </c>
      <c r="D126" s="3" t="str">
        <f aca="false">A126&amp;"|"&amp;B126</f>
        <v>Current|32</v>
      </c>
    </row>
    <row r="127" customFormat="false" ht="15" hidden="false" customHeight="false" outlineLevel="0" collapsed="false">
      <c r="A127" s="14" t="s">
        <v>155</v>
      </c>
      <c r="B127" s="14" t="n">
        <v>32</v>
      </c>
      <c r="C127" s="30" t="n">
        <v>0.385928</v>
      </c>
      <c r="D127" s="3" t="str">
        <f aca="false">A127&amp;"|"&amp;B127</f>
        <v>1-29 DPD|32</v>
      </c>
    </row>
    <row r="128" customFormat="false" ht="15" hidden="false" customHeight="false" outlineLevel="0" collapsed="false">
      <c r="A128" s="14" t="s">
        <v>156</v>
      </c>
      <c r="B128" s="14" t="n">
        <v>32</v>
      </c>
      <c r="C128" s="30" t="n">
        <v>0.999999</v>
      </c>
      <c r="D128" s="3" t="str">
        <f aca="false">A128&amp;"|"&amp;B128</f>
        <v>30-59 DPD|32</v>
      </c>
    </row>
    <row r="129" customFormat="false" ht="15" hidden="false" customHeight="false" outlineLevel="0" collapsed="false">
      <c r="A129" s="14" t="s">
        <v>157</v>
      </c>
      <c r="B129" s="14" t="n">
        <v>32</v>
      </c>
      <c r="C129" s="30" t="n">
        <v>1</v>
      </c>
      <c r="D129" s="3" t="str">
        <f aca="false">A129&amp;"|"&amp;B129</f>
        <v>60-89 DPD|32</v>
      </c>
    </row>
    <row r="130" customFormat="false" ht="15" hidden="false" customHeight="false" outlineLevel="0" collapsed="false">
      <c r="A130" s="14" t="s">
        <v>154</v>
      </c>
      <c r="B130" s="14" t="n">
        <v>33</v>
      </c>
      <c r="C130" s="30" t="n">
        <v>0.354515</v>
      </c>
      <c r="D130" s="3" t="str">
        <f aca="false">A130&amp;"|"&amp;B130</f>
        <v>Current|33</v>
      </c>
    </row>
    <row r="131" customFormat="false" ht="15" hidden="false" customHeight="false" outlineLevel="0" collapsed="false">
      <c r="A131" s="14" t="s">
        <v>155</v>
      </c>
      <c r="B131" s="14" t="n">
        <v>33</v>
      </c>
      <c r="C131" s="30" t="n">
        <v>0.395273</v>
      </c>
      <c r="D131" s="3" t="str">
        <f aca="false">A131&amp;"|"&amp;B131</f>
        <v>1-29 DPD|33</v>
      </c>
    </row>
    <row r="132" customFormat="false" ht="15" hidden="false" customHeight="false" outlineLevel="0" collapsed="false">
      <c r="A132" s="14" t="s">
        <v>156</v>
      </c>
      <c r="B132" s="14" t="n">
        <v>33</v>
      </c>
      <c r="C132" s="30" t="n">
        <v>0.999999</v>
      </c>
      <c r="D132" s="3" t="str">
        <f aca="false">A132&amp;"|"&amp;B132</f>
        <v>30-59 DPD|33</v>
      </c>
    </row>
    <row r="133" customFormat="false" ht="15" hidden="false" customHeight="false" outlineLevel="0" collapsed="false">
      <c r="A133" s="14" t="s">
        <v>157</v>
      </c>
      <c r="B133" s="14" t="n">
        <v>33</v>
      </c>
      <c r="C133" s="30" t="n">
        <v>1</v>
      </c>
      <c r="D133" s="3" t="str">
        <f aca="false">A133&amp;"|"&amp;B133</f>
        <v>60-89 DPD|33</v>
      </c>
    </row>
    <row r="134" customFormat="false" ht="15" hidden="false" customHeight="false" outlineLevel="0" collapsed="false">
      <c r="A134" s="14" t="s">
        <v>154</v>
      </c>
      <c r="B134" s="14" t="n">
        <v>34</v>
      </c>
      <c r="C134" s="30" t="n">
        <v>0.364338</v>
      </c>
      <c r="D134" s="3" t="str">
        <f aca="false">A134&amp;"|"&amp;B134</f>
        <v>Current|34</v>
      </c>
    </row>
    <row r="135" customFormat="false" ht="15" hidden="false" customHeight="false" outlineLevel="0" collapsed="false">
      <c r="A135" s="14" t="s">
        <v>155</v>
      </c>
      <c r="B135" s="14" t="n">
        <v>34</v>
      </c>
      <c r="C135" s="30" t="n">
        <v>0.404476</v>
      </c>
      <c r="D135" s="3" t="str">
        <f aca="false">A135&amp;"|"&amp;B135</f>
        <v>1-29 DPD|34</v>
      </c>
    </row>
    <row r="136" customFormat="false" ht="15" hidden="false" customHeight="false" outlineLevel="0" collapsed="false">
      <c r="A136" s="14" t="s">
        <v>156</v>
      </c>
      <c r="B136" s="14" t="n">
        <v>34</v>
      </c>
      <c r="C136" s="30" t="n">
        <v>1</v>
      </c>
      <c r="D136" s="3" t="str">
        <f aca="false">A136&amp;"|"&amp;B136</f>
        <v>30-59 DPD|34</v>
      </c>
    </row>
    <row r="137" customFormat="false" ht="15" hidden="false" customHeight="false" outlineLevel="0" collapsed="false">
      <c r="A137" s="14" t="s">
        <v>157</v>
      </c>
      <c r="B137" s="14" t="n">
        <v>34</v>
      </c>
      <c r="C137" s="30" t="n">
        <v>1</v>
      </c>
      <c r="D137" s="3" t="str">
        <f aca="false">A137&amp;"|"&amp;B137</f>
        <v>60-89 DPD|34</v>
      </c>
    </row>
    <row r="138" customFormat="false" ht="15" hidden="false" customHeight="false" outlineLevel="0" collapsed="false">
      <c r="A138" s="14" t="s">
        <v>154</v>
      </c>
      <c r="B138" s="14" t="n">
        <v>35</v>
      </c>
      <c r="C138" s="30" t="n">
        <v>0.374012</v>
      </c>
      <c r="D138" s="3" t="str">
        <f aca="false">A138&amp;"|"&amp;B138</f>
        <v>Current|35</v>
      </c>
    </row>
    <row r="139" customFormat="false" ht="15" hidden="false" customHeight="false" outlineLevel="0" collapsed="false">
      <c r="A139" s="14" t="s">
        <v>155</v>
      </c>
      <c r="B139" s="14" t="n">
        <v>35</v>
      </c>
      <c r="C139" s="30" t="n">
        <v>0.413539</v>
      </c>
      <c r="D139" s="3" t="str">
        <f aca="false">A139&amp;"|"&amp;B139</f>
        <v>1-29 DPD|35</v>
      </c>
    </row>
    <row r="140" customFormat="false" ht="15" hidden="false" customHeight="false" outlineLevel="0" collapsed="false">
      <c r="A140" s="14" t="s">
        <v>156</v>
      </c>
      <c r="B140" s="14" t="n">
        <v>35</v>
      </c>
      <c r="C140" s="30" t="n">
        <v>1</v>
      </c>
      <c r="D140" s="3" t="str">
        <f aca="false">A140&amp;"|"&amp;B140</f>
        <v>30-59 DPD|35</v>
      </c>
    </row>
    <row r="141" customFormat="false" ht="15" hidden="false" customHeight="false" outlineLevel="0" collapsed="false">
      <c r="A141" s="14" t="s">
        <v>157</v>
      </c>
      <c r="B141" s="14" t="n">
        <v>35</v>
      </c>
      <c r="C141" s="30" t="n">
        <v>1</v>
      </c>
      <c r="D141" s="3" t="str">
        <f aca="false">A141&amp;"|"&amp;B141</f>
        <v>60-89 DPD|35</v>
      </c>
    </row>
    <row r="142" customFormat="false" ht="15" hidden="false" customHeight="false" outlineLevel="0" collapsed="false">
      <c r="A142" s="14" t="s">
        <v>154</v>
      </c>
      <c r="B142" s="14" t="n">
        <v>36</v>
      </c>
      <c r="C142" s="30" t="n">
        <v>0.383539</v>
      </c>
      <c r="D142" s="3" t="str">
        <f aca="false">A142&amp;"|"&amp;B142</f>
        <v>Current|36</v>
      </c>
    </row>
    <row r="143" customFormat="false" ht="15" hidden="false" customHeight="false" outlineLevel="0" collapsed="false">
      <c r="A143" s="14" t="s">
        <v>155</v>
      </c>
      <c r="B143" s="14" t="n">
        <v>36</v>
      </c>
      <c r="C143" s="30" t="n">
        <v>0.422464</v>
      </c>
      <c r="D143" s="3" t="str">
        <f aca="false">A143&amp;"|"&amp;B143</f>
        <v>1-29 DPD|36</v>
      </c>
    </row>
    <row r="144" customFormat="false" ht="15" hidden="false" customHeight="false" outlineLevel="0" collapsed="false">
      <c r="A144" s="14" t="s">
        <v>156</v>
      </c>
      <c r="B144" s="14" t="n">
        <v>36</v>
      </c>
      <c r="C144" s="30" t="n">
        <v>1</v>
      </c>
      <c r="D144" s="3" t="str">
        <f aca="false">A144&amp;"|"&amp;B144</f>
        <v>30-59 DPD|36</v>
      </c>
    </row>
    <row r="145" customFormat="false" ht="15" hidden="false" customHeight="false" outlineLevel="0" collapsed="false">
      <c r="A145" s="14" t="s">
        <v>157</v>
      </c>
      <c r="B145" s="14" t="n">
        <v>36</v>
      </c>
      <c r="C145" s="30" t="n">
        <v>1</v>
      </c>
      <c r="D145" s="3" t="str">
        <f aca="false">A145&amp;"|"&amp;B145</f>
        <v>60-89 DPD|36</v>
      </c>
    </row>
    <row r="146" customFormat="false" ht="15" hidden="false" customHeight="false" outlineLevel="0" collapsed="false">
      <c r="A146" s="14" t="s">
        <v>154</v>
      </c>
      <c r="B146" s="14" t="n">
        <v>37</v>
      </c>
      <c r="C146" s="30" t="n">
        <v>0.39292</v>
      </c>
      <c r="D146" s="3" t="str">
        <f aca="false">A146&amp;"|"&amp;B146</f>
        <v>Current|37</v>
      </c>
    </row>
    <row r="147" customFormat="false" ht="15" hidden="false" customHeight="false" outlineLevel="0" collapsed="false">
      <c r="A147" s="14" t="s">
        <v>155</v>
      </c>
      <c r="B147" s="14" t="n">
        <v>37</v>
      </c>
      <c r="C147" s="30" t="n">
        <v>0.431253</v>
      </c>
      <c r="D147" s="3" t="str">
        <f aca="false">A147&amp;"|"&amp;B147</f>
        <v>1-29 DPD|37</v>
      </c>
    </row>
    <row r="148" customFormat="false" ht="15" hidden="false" customHeight="false" outlineLevel="0" collapsed="false">
      <c r="A148" s="14" t="s">
        <v>156</v>
      </c>
      <c r="B148" s="14" t="n">
        <v>37</v>
      </c>
      <c r="C148" s="30" t="n">
        <v>1</v>
      </c>
      <c r="D148" s="3" t="str">
        <f aca="false">A148&amp;"|"&amp;B148</f>
        <v>30-59 DPD|37</v>
      </c>
    </row>
    <row r="149" customFormat="false" ht="15" hidden="false" customHeight="false" outlineLevel="0" collapsed="false">
      <c r="A149" s="14" t="s">
        <v>157</v>
      </c>
      <c r="B149" s="14" t="n">
        <v>37</v>
      </c>
      <c r="C149" s="30" t="n">
        <v>1</v>
      </c>
      <c r="D149" s="3" t="str">
        <f aca="false">A149&amp;"|"&amp;B149</f>
        <v>60-89 DPD|37</v>
      </c>
    </row>
    <row r="150" customFormat="false" ht="15" hidden="false" customHeight="false" outlineLevel="0" collapsed="false">
      <c r="A150" s="14" t="s">
        <v>154</v>
      </c>
      <c r="B150" s="14" t="n">
        <v>38</v>
      </c>
      <c r="C150" s="30" t="n">
        <v>0.402159</v>
      </c>
      <c r="D150" s="3" t="str">
        <f aca="false">A150&amp;"|"&amp;B150</f>
        <v>Current|38</v>
      </c>
    </row>
    <row r="151" customFormat="false" ht="15" hidden="false" customHeight="false" outlineLevel="0" collapsed="false">
      <c r="A151" s="14" t="s">
        <v>155</v>
      </c>
      <c r="B151" s="14" t="n">
        <v>38</v>
      </c>
      <c r="C151" s="30" t="n">
        <v>0.439909</v>
      </c>
      <c r="D151" s="3" t="str">
        <f aca="false">A151&amp;"|"&amp;B151</f>
        <v>1-29 DPD|38</v>
      </c>
    </row>
    <row r="152" customFormat="false" ht="15" hidden="false" customHeight="false" outlineLevel="0" collapsed="false">
      <c r="A152" s="14" t="s">
        <v>156</v>
      </c>
      <c r="B152" s="14" t="n">
        <v>38</v>
      </c>
      <c r="C152" s="30" t="n">
        <v>1</v>
      </c>
      <c r="D152" s="3" t="str">
        <f aca="false">A152&amp;"|"&amp;B152</f>
        <v>30-59 DPD|38</v>
      </c>
    </row>
    <row r="153" customFormat="false" ht="15" hidden="false" customHeight="false" outlineLevel="0" collapsed="false">
      <c r="A153" s="14" t="s">
        <v>157</v>
      </c>
      <c r="B153" s="14" t="n">
        <v>38</v>
      </c>
      <c r="C153" s="30" t="n">
        <v>1</v>
      </c>
      <c r="D153" s="3" t="str">
        <f aca="false">A153&amp;"|"&amp;B153</f>
        <v>60-89 DPD|38</v>
      </c>
    </row>
    <row r="154" customFormat="false" ht="15" hidden="false" customHeight="false" outlineLevel="0" collapsed="false">
      <c r="A154" s="14" t="s">
        <v>154</v>
      </c>
      <c r="B154" s="14" t="n">
        <v>39</v>
      </c>
      <c r="C154" s="30" t="n">
        <v>0.411257</v>
      </c>
      <c r="D154" s="3" t="str">
        <f aca="false">A154&amp;"|"&amp;B154</f>
        <v>Current|39</v>
      </c>
    </row>
    <row r="155" customFormat="false" ht="15" hidden="false" customHeight="false" outlineLevel="0" collapsed="false">
      <c r="A155" s="14" t="s">
        <v>155</v>
      </c>
      <c r="B155" s="14" t="n">
        <v>39</v>
      </c>
      <c r="C155" s="30" t="n">
        <v>0.448432</v>
      </c>
      <c r="D155" s="3" t="str">
        <f aca="false">A155&amp;"|"&amp;B155</f>
        <v>1-29 DPD|39</v>
      </c>
    </row>
    <row r="156" customFormat="false" ht="15" hidden="false" customHeight="false" outlineLevel="0" collapsed="false">
      <c r="A156" s="14" t="s">
        <v>156</v>
      </c>
      <c r="B156" s="14" t="n">
        <v>39</v>
      </c>
      <c r="C156" s="30" t="n">
        <v>1</v>
      </c>
      <c r="D156" s="3" t="str">
        <f aca="false">A156&amp;"|"&amp;B156</f>
        <v>30-59 DPD|39</v>
      </c>
    </row>
    <row r="157" customFormat="false" ht="15" hidden="false" customHeight="false" outlineLevel="0" collapsed="false">
      <c r="A157" s="14" t="s">
        <v>157</v>
      </c>
      <c r="B157" s="14" t="n">
        <v>39</v>
      </c>
      <c r="C157" s="30" t="n">
        <v>1</v>
      </c>
      <c r="D157" s="3" t="str">
        <f aca="false">A157&amp;"|"&amp;B157</f>
        <v>60-89 DPD|39</v>
      </c>
    </row>
    <row r="158" customFormat="false" ht="15" hidden="false" customHeight="false" outlineLevel="0" collapsed="false">
      <c r="A158" s="14" t="s">
        <v>154</v>
      </c>
      <c r="B158" s="14" t="n">
        <v>40</v>
      </c>
      <c r="C158" s="30" t="n">
        <v>0.420217</v>
      </c>
      <c r="D158" s="3" t="str">
        <f aca="false">A158&amp;"|"&amp;B158</f>
        <v>Current|40</v>
      </c>
    </row>
    <row r="159" customFormat="false" ht="15" hidden="false" customHeight="false" outlineLevel="0" collapsed="false">
      <c r="A159" s="14" t="s">
        <v>155</v>
      </c>
      <c r="B159" s="14" t="n">
        <v>40</v>
      </c>
      <c r="C159" s="30" t="n">
        <v>0.456826</v>
      </c>
      <c r="D159" s="3" t="str">
        <f aca="false">A159&amp;"|"&amp;B159</f>
        <v>1-29 DPD|40</v>
      </c>
    </row>
    <row r="160" customFormat="false" ht="15" hidden="false" customHeight="false" outlineLevel="0" collapsed="false">
      <c r="A160" s="14" t="s">
        <v>156</v>
      </c>
      <c r="B160" s="14" t="n">
        <v>40</v>
      </c>
      <c r="C160" s="30" t="n">
        <v>1</v>
      </c>
      <c r="D160" s="3" t="str">
        <f aca="false">A160&amp;"|"&amp;B160</f>
        <v>30-59 DPD|40</v>
      </c>
    </row>
    <row r="161" customFormat="false" ht="15" hidden="false" customHeight="false" outlineLevel="0" collapsed="false">
      <c r="A161" s="14" t="s">
        <v>157</v>
      </c>
      <c r="B161" s="14" t="n">
        <v>40</v>
      </c>
      <c r="C161" s="30" t="n">
        <v>1</v>
      </c>
      <c r="D161" s="3" t="str">
        <f aca="false">A161&amp;"|"&amp;B161</f>
        <v>60-89 DPD|40</v>
      </c>
    </row>
    <row r="162" customFormat="false" ht="15" hidden="false" customHeight="false" outlineLevel="0" collapsed="false">
      <c r="A162" s="14" t="s">
        <v>154</v>
      </c>
      <c r="B162" s="14" t="n">
        <v>41</v>
      </c>
      <c r="C162" s="30" t="n">
        <v>0.42904</v>
      </c>
      <c r="D162" s="3" t="str">
        <f aca="false">A162&amp;"|"&amp;B162</f>
        <v>Current|41</v>
      </c>
    </row>
    <row r="163" customFormat="false" ht="15" hidden="false" customHeight="false" outlineLevel="0" collapsed="false">
      <c r="A163" s="14" t="s">
        <v>155</v>
      </c>
      <c r="B163" s="14" t="n">
        <v>41</v>
      </c>
      <c r="C163" s="30" t="n">
        <v>0.465093</v>
      </c>
      <c r="D163" s="3" t="str">
        <f aca="false">A163&amp;"|"&amp;B163</f>
        <v>1-29 DPD|41</v>
      </c>
    </row>
    <row r="164" customFormat="false" ht="15" hidden="false" customHeight="false" outlineLevel="0" collapsed="false">
      <c r="A164" s="14" t="s">
        <v>156</v>
      </c>
      <c r="B164" s="14" t="n">
        <v>41</v>
      </c>
      <c r="C164" s="30" t="n">
        <v>1</v>
      </c>
      <c r="D164" s="3" t="str">
        <f aca="false">A164&amp;"|"&amp;B164</f>
        <v>30-59 DPD|41</v>
      </c>
    </row>
    <row r="165" customFormat="false" ht="15" hidden="false" customHeight="false" outlineLevel="0" collapsed="false">
      <c r="A165" s="14" t="s">
        <v>157</v>
      </c>
      <c r="B165" s="14" t="n">
        <v>41</v>
      </c>
      <c r="C165" s="30" t="n">
        <v>1</v>
      </c>
      <c r="D165" s="3" t="str">
        <f aca="false">A165&amp;"|"&amp;B165</f>
        <v>60-89 DPD|41</v>
      </c>
    </row>
    <row r="166" customFormat="false" ht="15" hidden="false" customHeight="false" outlineLevel="0" collapsed="false">
      <c r="A166" s="14" t="s">
        <v>154</v>
      </c>
      <c r="B166" s="14" t="n">
        <v>42</v>
      </c>
      <c r="C166" s="30" t="n">
        <v>0.437729</v>
      </c>
      <c r="D166" s="3" t="str">
        <f aca="false">A166&amp;"|"&amp;B166</f>
        <v>Current|42</v>
      </c>
    </row>
    <row r="167" customFormat="false" ht="15" hidden="false" customHeight="false" outlineLevel="0" collapsed="false">
      <c r="A167" s="14" t="s">
        <v>155</v>
      </c>
      <c r="B167" s="14" t="n">
        <v>42</v>
      </c>
      <c r="C167" s="30" t="n">
        <v>0.473233</v>
      </c>
      <c r="D167" s="3" t="str">
        <f aca="false">A167&amp;"|"&amp;B167</f>
        <v>1-29 DPD|42</v>
      </c>
    </row>
    <row r="168" customFormat="false" ht="15" hidden="false" customHeight="false" outlineLevel="0" collapsed="false">
      <c r="A168" s="14" t="s">
        <v>156</v>
      </c>
      <c r="B168" s="14" t="n">
        <v>42</v>
      </c>
      <c r="C168" s="30" t="n">
        <v>1</v>
      </c>
      <c r="D168" s="3" t="str">
        <f aca="false">A168&amp;"|"&amp;B168</f>
        <v>30-59 DPD|42</v>
      </c>
    </row>
    <row r="169" customFormat="false" ht="15" hidden="false" customHeight="false" outlineLevel="0" collapsed="false">
      <c r="A169" s="14" t="s">
        <v>157</v>
      </c>
      <c r="B169" s="14" t="n">
        <v>42</v>
      </c>
      <c r="C169" s="30" t="n">
        <v>1</v>
      </c>
      <c r="D169" s="3" t="str">
        <f aca="false">A169&amp;"|"&amp;B169</f>
        <v>60-89 DPD|42</v>
      </c>
    </row>
    <row r="170" customFormat="false" ht="15" hidden="false" customHeight="false" outlineLevel="0" collapsed="false">
      <c r="A170" s="14" t="s">
        <v>154</v>
      </c>
      <c r="B170" s="14" t="n">
        <v>43</v>
      </c>
      <c r="C170" s="30" t="n">
        <v>0.446286</v>
      </c>
      <c r="D170" s="3" t="str">
        <f aca="false">A170&amp;"|"&amp;B170</f>
        <v>Current|43</v>
      </c>
    </row>
    <row r="171" customFormat="false" ht="15" hidden="false" customHeight="false" outlineLevel="0" collapsed="false">
      <c r="A171" s="14" t="s">
        <v>155</v>
      </c>
      <c r="B171" s="14" t="n">
        <v>43</v>
      </c>
      <c r="C171" s="30" t="n">
        <v>0.48125</v>
      </c>
      <c r="D171" s="3" t="str">
        <f aca="false">A171&amp;"|"&amp;B171</f>
        <v>1-29 DPD|43</v>
      </c>
    </row>
    <row r="172" customFormat="false" ht="15" hidden="false" customHeight="false" outlineLevel="0" collapsed="false">
      <c r="A172" s="14" t="s">
        <v>156</v>
      </c>
      <c r="B172" s="14" t="n">
        <v>43</v>
      </c>
      <c r="C172" s="30" t="n">
        <v>1</v>
      </c>
      <c r="D172" s="3" t="str">
        <f aca="false">A172&amp;"|"&amp;B172</f>
        <v>30-59 DPD|43</v>
      </c>
    </row>
    <row r="173" customFormat="false" ht="15" hidden="false" customHeight="false" outlineLevel="0" collapsed="false">
      <c r="A173" s="14" t="s">
        <v>157</v>
      </c>
      <c r="B173" s="14" t="n">
        <v>43</v>
      </c>
      <c r="C173" s="30" t="n">
        <v>1</v>
      </c>
      <c r="D173" s="3" t="str">
        <f aca="false">A173&amp;"|"&amp;B173</f>
        <v>60-89 DPD|43</v>
      </c>
    </row>
    <row r="174" customFormat="false" ht="15" hidden="false" customHeight="false" outlineLevel="0" collapsed="false">
      <c r="A174" s="14" t="s">
        <v>154</v>
      </c>
      <c r="B174" s="14" t="n">
        <v>44</v>
      </c>
      <c r="C174" s="30" t="n">
        <v>0.454713</v>
      </c>
      <c r="D174" s="3" t="str">
        <f aca="false">A174&amp;"|"&amp;B174</f>
        <v>Current|44</v>
      </c>
    </row>
    <row r="175" customFormat="false" ht="15" hidden="false" customHeight="false" outlineLevel="0" collapsed="false">
      <c r="A175" s="14" t="s">
        <v>155</v>
      </c>
      <c r="B175" s="14" t="n">
        <v>44</v>
      </c>
      <c r="C175" s="30" t="n">
        <v>0.489144</v>
      </c>
      <c r="D175" s="3" t="str">
        <f aca="false">A175&amp;"|"&amp;B175</f>
        <v>1-29 DPD|44</v>
      </c>
    </row>
    <row r="176" customFormat="false" ht="15" hidden="false" customHeight="false" outlineLevel="0" collapsed="false">
      <c r="A176" s="14" t="s">
        <v>156</v>
      </c>
      <c r="B176" s="14" t="n">
        <v>44</v>
      </c>
      <c r="C176" s="30" t="n">
        <v>1</v>
      </c>
      <c r="D176" s="3" t="str">
        <f aca="false">A176&amp;"|"&amp;B176</f>
        <v>30-59 DPD|44</v>
      </c>
    </row>
    <row r="177" customFormat="false" ht="15" hidden="false" customHeight="false" outlineLevel="0" collapsed="false">
      <c r="A177" s="14" t="s">
        <v>157</v>
      </c>
      <c r="B177" s="14" t="n">
        <v>44</v>
      </c>
      <c r="C177" s="30" t="n">
        <v>1</v>
      </c>
      <c r="D177" s="3" t="str">
        <f aca="false">A177&amp;"|"&amp;B177</f>
        <v>60-89 DPD|44</v>
      </c>
    </row>
    <row r="178" customFormat="false" ht="15" hidden="false" customHeight="false" outlineLevel="0" collapsed="false">
      <c r="A178" s="14" t="s">
        <v>154</v>
      </c>
      <c r="B178" s="14" t="n">
        <v>45</v>
      </c>
      <c r="C178" s="30" t="n">
        <v>0.463011</v>
      </c>
      <c r="D178" s="3" t="str">
        <f aca="false">A178&amp;"|"&amp;B178</f>
        <v>Current|45</v>
      </c>
    </row>
    <row r="179" customFormat="false" ht="15" hidden="false" customHeight="false" outlineLevel="0" collapsed="false">
      <c r="A179" s="14" t="s">
        <v>155</v>
      </c>
      <c r="B179" s="14" t="n">
        <v>45</v>
      </c>
      <c r="C179" s="30" t="n">
        <v>0.496918</v>
      </c>
      <c r="D179" s="3" t="str">
        <f aca="false">A179&amp;"|"&amp;B179</f>
        <v>1-29 DPD|45</v>
      </c>
    </row>
    <row r="180" customFormat="false" ht="15" hidden="false" customHeight="false" outlineLevel="0" collapsed="false">
      <c r="A180" s="14" t="s">
        <v>156</v>
      </c>
      <c r="B180" s="14" t="n">
        <v>45</v>
      </c>
      <c r="C180" s="30" t="n">
        <v>1</v>
      </c>
      <c r="D180" s="3" t="str">
        <f aca="false">A180&amp;"|"&amp;B180</f>
        <v>30-59 DPD|45</v>
      </c>
    </row>
    <row r="181" customFormat="false" ht="15" hidden="false" customHeight="false" outlineLevel="0" collapsed="false">
      <c r="A181" s="14" t="s">
        <v>157</v>
      </c>
      <c r="B181" s="14" t="n">
        <v>45</v>
      </c>
      <c r="C181" s="30" t="n">
        <v>1</v>
      </c>
      <c r="D181" s="3" t="str">
        <f aca="false">A181&amp;"|"&amp;B181</f>
        <v>60-89 DPD|45</v>
      </c>
    </row>
    <row r="182" customFormat="false" ht="15" hidden="false" customHeight="false" outlineLevel="0" collapsed="false">
      <c r="A182" s="14" t="s">
        <v>154</v>
      </c>
      <c r="B182" s="14" t="n">
        <v>46</v>
      </c>
      <c r="C182" s="30" t="n">
        <v>0.471183</v>
      </c>
      <c r="D182" s="3" t="str">
        <f aca="false">A182&amp;"|"&amp;B182</f>
        <v>Current|46</v>
      </c>
    </row>
    <row r="183" customFormat="false" ht="15" hidden="false" customHeight="false" outlineLevel="0" collapsed="false">
      <c r="A183" s="14" t="s">
        <v>155</v>
      </c>
      <c r="B183" s="14" t="n">
        <v>46</v>
      </c>
      <c r="C183" s="30" t="n">
        <v>0.504575</v>
      </c>
      <c r="D183" s="3" t="str">
        <f aca="false">A183&amp;"|"&amp;B183</f>
        <v>1-29 DPD|46</v>
      </c>
    </row>
    <row r="184" customFormat="false" ht="15" hidden="false" customHeight="false" outlineLevel="0" collapsed="false">
      <c r="A184" s="14" t="s">
        <v>156</v>
      </c>
      <c r="B184" s="14" t="n">
        <v>46</v>
      </c>
      <c r="C184" s="30" t="n">
        <v>1</v>
      </c>
      <c r="D184" s="3" t="str">
        <f aca="false">A184&amp;"|"&amp;B184</f>
        <v>30-59 DPD|46</v>
      </c>
    </row>
    <row r="185" customFormat="false" ht="15" hidden="false" customHeight="false" outlineLevel="0" collapsed="false">
      <c r="A185" s="14" t="s">
        <v>157</v>
      </c>
      <c r="B185" s="14" t="n">
        <v>46</v>
      </c>
      <c r="C185" s="30" t="n">
        <v>1</v>
      </c>
      <c r="D185" s="3" t="str">
        <f aca="false">A185&amp;"|"&amp;B185</f>
        <v>60-89 DPD|46</v>
      </c>
    </row>
    <row r="186" customFormat="false" ht="15" hidden="false" customHeight="false" outlineLevel="0" collapsed="false">
      <c r="A186" s="14" t="s">
        <v>154</v>
      </c>
      <c r="B186" s="14" t="n">
        <v>47</v>
      </c>
      <c r="C186" s="30" t="n">
        <v>0.479231</v>
      </c>
      <c r="D186" s="3" t="str">
        <f aca="false">A186&amp;"|"&amp;B186</f>
        <v>Current|47</v>
      </c>
    </row>
    <row r="187" customFormat="false" ht="15" hidden="false" customHeight="false" outlineLevel="0" collapsed="false">
      <c r="A187" s="14" t="s">
        <v>155</v>
      </c>
      <c r="B187" s="14" t="n">
        <v>47</v>
      </c>
      <c r="C187" s="30" t="n">
        <v>0.512114</v>
      </c>
      <c r="D187" s="3" t="str">
        <f aca="false">A187&amp;"|"&amp;B187</f>
        <v>1-29 DPD|47</v>
      </c>
    </row>
    <row r="188" customFormat="false" ht="15" hidden="false" customHeight="false" outlineLevel="0" collapsed="false">
      <c r="A188" s="14" t="s">
        <v>156</v>
      </c>
      <c r="B188" s="14" t="n">
        <v>47</v>
      </c>
      <c r="C188" s="30" t="n">
        <v>1</v>
      </c>
      <c r="D188" s="3" t="str">
        <f aca="false">A188&amp;"|"&amp;B188</f>
        <v>30-59 DPD|47</v>
      </c>
    </row>
    <row r="189" customFormat="false" ht="15" hidden="false" customHeight="false" outlineLevel="0" collapsed="false">
      <c r="A189" s="14" t="s">
        <v>157</v>
      </c>
      <c r="B189" s="14" t="n">
        <v>47</v>
      </c>
      <c r="C189" s="30" t="n">
        <v>1</v>
      </c>
      <c r="D189" s="3" t="str">
        <f aca="false">A189&amp;"|"&amp;B189</f>
        <v>60-89 DPD|47</v>
      </c>
    </row>
    <row r="190" customFormat="false" ht="15" hidden="false" customHeight="false" outlineLevel="0" collapsed="false">
      <c r="A190" s="14" t="s">
        <v>154</v>
      </c>
      <c r="B190" s="14" t="n">
        <v>48</v>
      </c>
      <c r="C190" s="30" t="n">
        <v>0.487156</v>
      </c>
      <c r="D190" s="3" t="str">
        <f aca="false">A190&amp;"|"&amp;B190</f>
        <v>Current|48</v>
      </c>
    </row>
    <row r="191" customFormat="false" ht="15" hidden="false" customHeight="false" outlineLevel="0" collapsed="false">
      <c r="A191" s="14" t="s">
        <v>155</v>
      </c>
      <c r="B191" s="14" t="n">
        <v>48</v>
      </c>
      <c r="C191" s="30" t="n">
        <v>0.519539</v>
      </c>
      <c r="D191" s="3" t="str">
        <f aca="false">A191&amp;"|"&amp;B191</f>
        <v>1-29 DPD|48</v>
      </c>
    </row>
    <row r="192" customFormat="false" ht="15" hidden="false" customHeight="false" outlineLevel="0" collapsed="false">
      <c r="A192" s="14" t="s">
        <v>156</v>
      </c>
      <c r="B192" s="14" t="n">
        <v>48</v>
      </c>
      <c r="C192" s="30" t="n">
        <v>1</v>
      </c>
      <c r="D192" s="3" t="str">
        <f aca="false">A192&amp;"|"&amp;B192</f>
        <v>30-59 DPD|48</v>
      </c>
    </row>
    <row r="193" customFormat="false" ht="15" hidden="false" customHeight="false" outlineLevel="0" collapsed="false">
      <c r="A193" s="14" t="s">
        <v>157</v>
      </c>
      <c r="B193" s="14" t="n">
        <v>48</v>
      </c>
      <c r="C193" s="30" t="n">
        <v>1</v>
      </c>
      <c r="D193" s="3" t="str">
        <f aca="false">A193&amp;"|"&amp;B193</f>
        <v>60-89 DPD|48</v>
      </c>
    </row>
    <row r="194" customFormat="false" ht="15" hidden="false" customHeight="false" outlineLevel="0" collapsed="false">
      <c r="A194" s="14" t="s">
        <v>154</v>
      </c>
      <c r="B194" s="14" t="n">
        <v>49</v>
      </c>
      <c r="C194" s="30" t="n">
        <v>0.494961</v>
      </c>
      <c r="D194" s="3" t="str">
        <f aca="false">A194&amp;"|"&amp;B194</f>
        <v>Current|49</v>
      </c>
    </row>
    <row r="195" customFormat="false" ht="15" hidden="false" customHeight="false" outlineLevel="0" collapsed="false">
      <c r="A195" s="14" t="s">
        <v>155</v>
      </c>
      <c r="B195" s="14" t="n">
        <v>49</v>
      </c>
      <c r="C195" s="30" t="n">
        <v>0.526851</v>
      </c>
      <c r="D195" s="3" t="str">
        <f aca="false">A195&amp;"|"&amp;B195</f>
        <v>1-29 DPD|49</v>
      </c>
    </row>
    <row r="196" customFormat="false" ht="15" hidden="false" customHeight="false" outlineLevel="0" collapsed="false">
      <c r="A196" s="14" t="s">
        <v>156</v>
      </c>
      <c r="B196" s="14" t="n">
        <v>49</v>
      </c>
      <c r="C196" s="30" t="n">
        <v>1</v>
      </c>
      <c r="D196" s="3" t="str">
        <f aca="false">A196&amp;"|"&amp;B196</f>
        <v>30-59 DPD|49</v>
      </c>
    </row>
    <row r="197" customFormat="false" ht="15" hidden="false" customHeight="false" outlineLevel="0" collapsed="false">
      <c r="A197" s="14" t="s">
        <v>157</v>
      </c>
      <c r="B197" s="14" t="n">
        <v>49</v>
      </c>
      <c r="C197" s="30" t="n">
        <v>1</v>
      </c>
      <c r="D197" s="3" t="str">
        <f aca="false">A197&amp;"|"&amp;B197</f>
        <v>60-89 DPD|49</v>
      </c>
    </row>
    <row r="198" customFormat="false" ht="15" hidden="false" customHeight="false" outlineLevel="0" collapsed="false">
      <c r="A198" s="14" t="s">
        <v>154</v>
      </c>
      <c r="B198" s="14" t="n">
        <v>50</v>
      </c>
      <c r="C198" s="30" t="n">
        <v>0.502647</v>
      </c>
      <c r="D198" s="3" t="str">
        <f aca="false">A198&amp;"|"&amp;B198</f>
        <v>Current|50</v>
      </c>
    </row>
    <row r="199" customFormat="false" ht="15" hidden="false" customHeight="false" outlineLevel="0" collapsed="false">
      <c r="A199" s="14" t="s">
        <v>155</v>
      </c>
      <c r="B199" s="14" t="n">
        <v>50</v>
      </c>
      <c r="C199" s="30" t="n">
        <v>0.534051</v>
      </c>
      <c r="D199" s="3" t="str">
        <f aca="false">A199&amp;"|"&amp;B199</f>
        <v>1-29 DPD|50</v>
      </c>
    </row>
    <row r="200" customFormat="false" ht="15" hidden="false" customHeight="false" outlineLevel="0" collapsed="false">
      <c r="A200" s="14" t="s">
        <v>156</v>
      </c>
      <c r="B200" s="14" t="n">
        <v>50</v>
      </c>
      <c r="C200" s="30" t="n">
        <v>1</v>
      </c>
      <c r="D200" s="3" t="str">
        <f aca="false">A200&amp;"|"&amp;B200</f>
        <v>30-59 DPD|50</v>
      </c>
    </row>
    <row r="201" customFormat="false" ht="15" hidden="false" customHeight="false" outlineLevel="0" collapsed="false">
      <c r="A201" s="14" t="s">
        <v>157</v>
      </c>
      <c r="B201" s="14" t="n">
        <v>50</v>
      </c>
      <c r="C201" s="30" t="n">
        <v>1</v>
      </c>
      <c r="D201" s="3" t="str">
        <f aca="false">A201&amp;"|"&amp;B201</f>
        <v>60-89 DPD|50</v>
      </c>
    </row>
    <row r="202" customFormat="false" ht="15" hidden="false" customHeight="false" outlineLevel="0" collapsed="false">
      <c r="A202" s="14" t="s">
        <v>154</v>
      </c>
      <c r="B202" s="14" t="n">
        <v>51</v>
      </c>
      <c r="C202" s="30" t="n">
        <v>0.510216</v>
      </c>
      <c r="D202" s="3" t="str">
        <f aca="false">A202&amp;"|"&amp;B202</f>
        <v>Current|51</v>
      </c>
    </row>
    <row r="203" customFormat="false" ht="15" hidden="false" customHeight="false" outlineLevel="0" collapsed="false">
      <c r="A203" s="14" t="s">
        <v>155</v>
      </c>
      <c r="B203" s="14" t="n">
        <v>51</v>
      </c>
      <c r="C203" s="30" t="n">
        <v>0.541142</v>
      </c>
      <c r="D203" s="3" t="str">
        <f aca="false">A203&amp;"|"&amp;B203</f>
        <v>1-29 DPD|51</v>
      </c>
    </row>
    <row r="204" customFormat="false" ht="15" hidden="false" customHeight="false" outlineLevel="0" collapsed="false">
      <c r="A204" s="14" t="s">
        <v>156</v>
      </c>
      <c r="B204" s="14" t="n">
        <v>51</v>
      </c>
      <c r="C204" s="30" t="n">
        <v>1</v>
      </c>
      <c r="D204" s="3" t="str">
        <f aca="false">A204&amp;"|"&amp;B204</f>
        <v>30-59 DPD|51</v>
      </c>
    </row>
    <row r="205" customFormat="false" ht="15" hidden="false" customHeight="false" outlineLevel="0" collapsed="false">
      <c r="A205" s="14" t="s">
        <v>157</v>
      </c>
      <c r="B205" s="14" t="n">
        <v>51</v>
      </c>
      <c r="C205" s="30" t="n">
        <v>1</v>
      </c>
      <c r="D205" s="3" t="str">
        <f aca="false">A205&amp;"|"&amp;B205</f>
        <v>60-89 DPD|51</v>
      </c>
    </row>
    <row r="206" customFormat="false" ht="15" hidden="false" customHeight="false" outlineLevel="0" collapsed="false">
      <c r="A206" s="14" t="s">
        <v>154</v>
      </c>
      <c r="B206" s="14" t="n">
        <v>52</v>
      </c>
      <c r="C206" s="30" t="n">
        <v>0.517669</v>
      </c>
      <c r="D206" s="3" t="str">
        <f aca="false">A206&amp;"|"&amp;B206</f>
        <v>Current|52</v>
      </c>
    </row>
    <row r="207" customFormat="false" ht="15" hidden="false" customHeight="false" outlineLevel="0" collapsed="false">
      <c r="A207" s="14" t="s">
        <v>155</v>
      </c>
      <c r="B207" s="14" t="n">
        <v>52</v>
      </c>
      <c r="C207" s="30" t="n">
        <v>0.548125</v>
      </c>
      <c r="D207" s="3" t="str">
        <f aca="false">A207&amp;"|"&amp;B207</f>
        <v>1-29 DPD|52</v>
      </c>
    </row>
    <row r="208" customFormat="false" ht="15" hidden="false" customHeight="false" outlineLevel="0" collapsed="false">
      <c r="A208" s="14" t="s">
        <v>156</v>
      </c>
      <c r="B208" s="14" t="n">
        <v>52</v>
      </c>
      <c r="C208" s="30" t="n">
        <v>1</v>
      </c>
      <c r="D208" s="3" t="str">
        <f aca="false">A208&amp;"|"&amp;B208</f>
        <v>30-59 DPD|52</v>
      </c>
    </row>
    <row r="209" customFormat="false" ht="15" hidden="false" customHeight="false" outlineLevel="0" collapsed="false">
      <c r="A209" s="14" t="s">
        <v>157</v>
      </c>
      <c r="B209" s="14" t="n">
        <v>52</v>
      </c>
      <c r="C209" s="30" t="n">
        <v>1</v>
      </c>
      <c r="D209" s="3" t="str">
        <f aca="false">A209&amp;"|"&amp;B209</f>
        <v>60-89 DPD|52</v>
      </c>
    </row>
    <row r="210" customFormat="false" ht="15" hidden="false" customHeight="false" outlineLevel="0" collapsed="false">
      <c r="A210" s="14" t="s">
        <v>154</v>
      </c>
      <c r="B210" s="14" t="n">
        <v>53</v>
      </c>
      <c r="C210" s="30" t="n">
        <v>0.52501</v>
      </c>
      <c r="D210" s="3" t="str">
        <f aca="false">A210&amp;"|"&amp;B210</f>
        <v>Current|53</v>
      </c>
    </row>
    <row r="211" customFormat="false" ht="15" hidden="false" customHeight="false" outlineLevel="0" collapsed="false">
      <c r="A211" s="14" t="s">
        <v>155</v>
      </c>
      <c r="B211" s="14" t="n">
        <v>53</v>
      </c>
      <c r="C211" s="30" t="n">
        <v>0.555002</v>
      </c>
      <c r="D211" s="3" t="str">
        <f aca="false">A211&amp;"|"&amp;B211</f>
        <v>1-29 DPD|53</v>
      </c>
    </row>
    <row r="212" customFormat="false" ht="15" hidden="false" customHeight="false" outlineLevel="0" collapsed="false">
      <c r="A212" s="14" t="s">
        <v>156</v>
      </c>
      <c r="B212" s="14" t="n">
        <v>53</v>
      </c>
      <c r="C212" s="30" t="n">
        <v>1</v>
      </c>
      <c r="D212" s="3" t="str">
        <f aca="false">A212&amp;"|"&amp;B212</f>
        <v>30-59 DPD|53</v>
      </c>
    </row>
    <row r="213" customFormat="false" ht="15" hidden="false" customHeight="false" outlineLevel="0" collapsed="false">
      <c r="A213" s="14" t="s">
        <v>157</v>
      </c>
      <c r="B213" s="14" t="n">
        <v>53</v>
      </c>
      <c r="C213" s="30" t="n">
        <v>1</v>
      </c>
      <c r="D213" s="3" t="str">
        <f aca="false">A213&amp;"|"&amp;B213</f>
        <v>60-89 DPD|53</v>
      </c>
    </row>
    <row r="214" customFormat="false" ht="15" hidden="false" customHeight="false" outlineLevel="0" collapsed="false">
      <c r="A214" s="14" t="s">
        <v>154</v>
      </c>
      <c r="B214" s="14" t="n">
        <v>54</v>
      </c>
      <c r="C214" s="30" t="n">
        <v>0.532238</v>
      </c>
      <c r="D214" s="3" t="str">
        <f aca="false">A214&amp;"|"&amp;B214</f>
        <v>Current|54</v>
      </c>
    </row>
    <row r="215" customFormat="false" ht="15" hidden="false" customHeight="false" outlineLevel="0" collapsed="false">
      <c r="A215" s="14" t="s">
        <v>155</v>
      </c>
      <c r="B215" s="14" t="n">
        <v>54</v>
      </c>
      <c r="C215" s="30" t="n">
        <v>0.561774</v>
      </c>
      <c r="D215" s="3" t="str">
        <f aca="false">A215&amp;"|"&amp;B215</f>
        <v>1-29 DPD|54</v>
      </c>
    </row>
    <row r="216" customFormat="false" ht="15" hidden="false" customHeight="false" outlineLevel="0" collapsed="false">
      <c r="A216" s="14" t="s">
        <v>156</v>
      </c>
      <c r="B216" s="14" t="n">
        <v>54</v>
      </c>
      <c r="C216" s="30" t="n">
        <v>1</v>
      </c>
      <c r="D216" s="3" t="str">
        <f aca="false">A216&amp;"|"&amp;B216</f>
        <v>30-59 DPD|54</v>
      </c>
    </row>
    <row r="217" customFormat="false" ht="15" hidden="false" customHeight="false" outlineLevel="0" collapsed="false">
      <c r="A217" s="14" t="s">
        <v>157</v>
      </c>
      <c r="B217" s="14" t="n">
        <v>54</v>
      </c>
      <c r="C217" s="30" t="n">
        <v>1</v>
      </c>
      <c r="D217" s="3" t="str">
        <f aca="false">A217&amp;"|"&amp;B217</f>
        <v>60-89 DPD|54</v>
      </c>
    </row>
    <row r="218" customFormat="false" ht="15" hidden="false" customHeight="false" outlineLevel="0" collapsed="false">
      <c r="A218" s="14" t="s">
        <v>154</v>
      </c>
      <c r="B218" s="14" t="n">
        <v>55</v>
      </c>
      <c r="C218" s="30" t="n">
        <v>0.539357</v>
      </c>
      <c r="D218" s="3" t="str">
        <f aca="false">A218&amp;"|"&amp;B218</f>
        <v>Current|55</v>
      </c>
    </row>
    <row r="219" customFormat="false" ht="15" hidden="false" customHeight="false" outlineLevel="0" collapsed="false">
      <c r="A219" s="14" t="s">
        <v>155</v>
      </c>
      <c r="B219" s="14" t="n">
        <v>55</v>
      </c>
      <c r="C219" s="30" t="n">
        <v>0.568443</v>
      </c>
      <c r="D219" s="3" t="str">
        <f aca="false">A219&amp;"|"&amp;B219</f>
        <v>1-29 DPD|55</v>
      </c>
    </row>
    <row r="220" customFormat="false" ht="15" hidden="false" customHeight="false" outlineLevel="0" collapsed="false">
      <c r="A220" s="14" t="s">
        <v>156</v>
      </c>
      <c r="B220" s="14" t="n">
        <v>55</v>
      </c>
      <c r="C220" s="30" t="n">
        <v>1</v>
      </c>
      <c r="D220" s="3" t="str">
        <f aca="false">A220&amp;"|"&amp;B220</f>
        <v>30-59 DPD|55</v>
      </c>
    </row>
    <row r="221" customFormat="false" ht="15" hidden="false" customHeight="false" outlineLevel="0" collapsed="false">
      <c r="A221" s="14" t="s">
        <v>157</v>
      </c>
      <c r="B221" s="14" t="n">
        <v>55</v>
      </c>
      <c r="C221" s="30" t="n">
        <v>1</v>
      </c>
      <c r="D221" s="3" t="str">
        <f aca="false">A221&amp;"|"&amp;B221</f>
        <v>60-89 DPD|55</v>
      </c>
    </row>
    <row r="222" customFormat="false" ht="15" hidden="false" customHeight="false" outlineLevel="0" collapsed="false">
      <c r="A222" s="14" t="s">
        <v>154</v>
      </c>
      <c r="B222" s="14" t="n">
        <v>56</v>
      </c>
      <c r="C222" s="30" t="n">
        <v>0.546367</v>
      </c>
      <c r="D222" s="3" t="str">
        <f aca="false">A222&amp;"|"&amp;B222</f>
        <v>Current|56</v>
      </c>
    </row>
    <row r="223" customFormat="false" ht="15" hidden="false" customHeight="false" outlineLevel="0" collapsed="false">
      <c r="A223" s="14" t="s">
        <v>155</v>
      </c>
      <c r="B223" s="14" t="n">
        <v>56</v>
      </c>
      <c r="C223" s="30" t="n">
        <v>0.575011</v>
      </c>
      <c r="D223" s="3" t="str">
        <f aca="false">A223&amp;"|"&amp;B223</f>
        <v>1-29 DPD|56</v>
      </c>
    </row>
    <row r="224" customFormat="false" ht="15" hidden="false" customHeight="false" outlineLevel="0" collapsed="false">
      <c r="A224" s="14" t="s">
        <v>156</v>
      </c>
      <c r="B224" s="14" t="n">
        <v>56</v>
      </c>
      <c r="C224" s="30" t="n">
        <v>1</v>
      </c>
      <c r="D224" s="3" t="str">
        <f aca="false">A224&amp;"|"&amp;B224</f>
        <v>30-59 DPD|56</v>
      </c>
    </row>
    <row r="225" customFormat="false" ht="15" hidden="false" customHeight="false" outlineLevel="0" collapsed="false">
      <c r="A225" s="14" t="s">
        <v>157</v>
      </c>
      <c r="B225" s="14" t="n">
        <v>56</v>
      </c>
      <c r="C225" s="30" t="n">
        <v>1</v>
      </c>
      <c r="D225" s="3" t="str">
        <f aca="false">A225&amp;"|"&amp;B225</f>
        <v>60-89 DPD|56</v>
      </c>
    </row>
    <row r="226" customFormat="false" ht="15" hidden="false" customHeight="false" outlineLevel="0" collapsed="false">
      <c r="A226" s="14" t="s">
        <v>154</v>
      </c>
      <c r="B226" s="14" t="n">
        <v>57</v>
      </c>
      <c r="C226" s="30" t="n">
        <v>0.553271</v>
      </c>
      <c r="D226" s="3" t="str">
        <f aca="false">A226&amp;"|"&amp;B226</f>
        <v>Current|57</v>
      </c>
    </row>
    <row r="227" customFormat="false" ht="15" hidden="false" customHeight="false" outlineLevel="0" collapsed="false">
      <c r="A227" s="14" t="s">
        <v>155</v>
      </c>
      <c r="B227" s="14" t="n">
        <v>57</v>
      </c>
      <c r="C227" s="30" t="n">
        <v>0.581479</v>
      </c>
      <c r="D227" s="3" t="str">
        <f aca="false">A227&amp;"|"&amp;B227</f>
        <v>1-29 DPD|57</v>
      </c>
    </row>
    <row r="228" customFormat="false" ht="15" hidden="false" customHeight="false" outlineLevel="0" collapsed="false">
      <c r="A228" s="14" t="s">
        <v>156</v>
      </c>
      <c r="B228" s="14" t="n">
        <v>57</v>
      </c>
      <c r="C228" s="30" t="n">
        <v>1</v>
      </c>
      <c r="D228" s="3" t="str">
        <f aca="false">A228&amp;"|"&amp;B228</f>
        <v>30-59 DPD|57</v>
      </c>
    </row>
    <row r="229" customFormat="false" ht="15" hidden="false" customHeight="false" outlineLevel="0" collapsed="false">
      <c r="A229" s="14" t="s">
        <v>157</v>
      </c>
      <c r="B229" s="14" t="n">
        <v>57</v>
      </c>
      <c r="C229" s="30" t="n">
        <v>1</v>
      </c>
      <c r="D229" s="3" t="str">
        <f aca="false">A229&amp;"|"&amp;B229</f>
        <v>60-89 DPD|57</v>
      </c>
    </row>
    <row r="230" customFormat="false" ht="15" hidden="false" customHeight="false" outlineLevel="0" collapsed="false">
      <c r="A230" s="14" t="s">
        <v>154</v>
      </c>
      <c r="B230" s="14" t="n">
        <v>58</v>
      </c>
      <c r="C230" s="30" t="n">
        <v>0.560069</v>
      </c>
      <c r="D230" s="3" t="str">
        <f aca="false">A230&amp;"|"&amp;B230</f>
        <v>Current|58</v>
      </c>
    </row>
    <row r="231" customFormat="false" ht="15" hidden="false" customHeight="false" outlineLevel="0" collapsed="false">
      <c r="A231" s="14" t="s">
        <v>155</v>
      </c>
      <c r="B231" s="14" t="n">
        <v>58</v>
      </c>
      <c r="C231" s="30" t="n">
        <v>0.587848</v>
      </c>
      <c r="D231" s="3" t="str">
        <f aca="false">A231&amp;"|"&amp;B231</f>
        <v>1-29 DPD|58</v>
      </c>
    </row>
    <row r="232" customFormat="false" ht="15" hidden="false" customHeight="false" outlineLevel="0" collapsed="false">
      <c r="A232" s="14" t="s">
        <v>156</v>
      </c>
      <c r="B232" s="14" t="n">
        <v>58</v>
      </c>
      <c r="C232" s="30" t="n">
        <v>1</v>
      </c>
      <c r="D232" s="3" t="str">
        <f aca="false">A232&amp;"|"&amp;B232</f>
        <v>30-59 DPD|58</v>
      </c>
    </row>
    <row r="233" customFormat="false" ht="15" hidden="false" customHeight="false" outlineLevel="0" collapsed="false">
      <c r="A233" s="14" t="s">
        <v>157</v>
      </c>
      <c r="B233" s="14" t="n">
        <v>58</v>
      </c>
      <c r="C233" s="30" t="n">
        <v>1</v>
      </c>
      <c r="D233" s="3" t="str">
        <f aca="false">A233&amp;"|"&amp;B233</f>
        <v>60-89 DPD|58</v>
      </c>
    </row>
    <row r="234" customFormat="false" ht="15" hidden="false" customHeight="false" outlineLevel="0" collapsed="false">
      <c r="A234" s="14" t="s">
        <v>154</v>
      </c>
      <c r="B234" s="14" t="n">
        <v>59</v>
      </c>
      <c r="C234" s="30" t="n">
        <v>0.566764</v>
      </c>
      <c r="D234" s="3" t="str">
        <f aca="false">A234&amp;"|"&amp;B234</f>
        <v>Current|59</v>
      </c>
    </row>
    <row r="235" customFormat="false" ht="15" hidden="false" customHeight="false" outlineLevel="0" collapsed="false">
      <c r="A235" s="14" t="s">
        <v>155</v>
      </c>
      <c r="B235" s="14" t="n">
        <v>59</v>
      </c>
      <c r="C235" s="30" t="n">
        <v>0.59412</v>
      </c>
      <c r="D235" s="3" t="str">
        <f aca="false">A235&amp;"|"&amp;B235</f>
        <v>1-29 DPD|59</v>
      </c>
    </row>
    <row r="236" customFormat="false" ht="15" hidden="false" customHeight="false" outlineLevel="0" collapsed="false">
      <c r="A236" s="14" t="s">
        <v>156</v>
      </c>
      <c r="B236" s="14" t="n">
        <v>59</v>
      </c>
      <c r="C236" s="30" t="n">
        <v>1</v>
      </c>
      <c r="D236" s="3" t="str">
        <f aca="false">A236&amp;"|"&amp;B236</f>
        <v>30-59 DPD|59</v>
      </c>
    </row>
    <row r="237" customFormat="false" ht="15" hidden="false" customHeight="false" outlineLevel="0" collapsed="false">
      <c r="A237" s="14" t="s">
        <v>157</v>
      </c>
      <c r="B237" s="14" t="n">
        <v>59</v>
      </c>
      <c r="C237" s="30" t="n">
        <v>1</v>
      </c>
      <c r="D237" s="3" t="str">
        <f aca="false">A237&amp;"|"&amp;B237</f>
        <v>60-89 DPD|59</v>
      </c>
    </row>
    <row r="238" customFormat="false" ht="15" hidden="false" customHeight="false" outlineLevel="0" collapsed="false">
      <c r="A238" s="14" t="s">
        <v>154</v>
      </c>
      <c r="B238" s="14" t="n">
        <v>60</v>
      </c>
      <c r="C238" s="30" t="n">
        <v>0.573357</v>
      </c>
      <c r="D238" s="3" t="str">
        <f aca="false">A238&amp;"|"&amp;B238</f>
        <v>Current|60</v>
      </c>
    </row>
    <row r="239" customFormat="false" ht="15" hidden="false" customHeight="false" outlineLevel="0" collapsed="false">
      <c r="A239" s="14" t="s">
        <v>155</v>
      </c>
      <c r="B239" s="14" t="n">
        <v>60</v>
      </c>
      <c r="C239" s="30" t="n">
        <v>0.600297</v>
      </c>
      <c r="D239" s="3" t="str">
        <f aca="false">A239&amp;"|"&amp;B239</f>
        <v>1-29 DPD|60</v>
      </c>
    </row>
    <row r="240" customFormat="false" ht="15" hidden="false" customHeight="false" outlineLevel="0" collapsed="false">
      <c r="A240" s="14" t="s">
        <v>156</v>
      </c>
      <c r="B240" s="14" t="n">
        <v>60</v>
      </c>
      <c r="C240" s="30" t="n">
        <v>1</v>
      </c>
      <c r="D240" s="3" t="str">
        <f aca="false">A240&amp;"|"&amp;B240</f>
        <v>30-59 DPD|60</v>
      </c>
    </row>
    <row r="241" customFormat="false" ht="15" hidden="false" customHeight="false" outlineLevel="0" collapsed="false">
      <c r="A241" s="14" t="s">
        <v>157</v>
      </c>
      <c r="B241" s="14" t="n">
        <v>60</v>
      </c>
      <c r="C241" s="30" t="n">
        <v>1</v>
      </c>
      <c r="D241" s="3" t="str">
        <f aca="false">A241&amp;"|"&amp;B241</f>
        <v>60-89 DPD|60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7" min="4" style="1" width="10"/>
    <col collapsed="false" customWidth="true" hidden="false" outlineLevel="0" max="10" min="8" style="1" width="14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2"/>
  </cols>
  <sheetData>
    <row r="1" customFormat="false" ht="17.35" hidden="false" customHeight="false" outlineLevel="0" collapsed="false">
      <c r="A1" s="2" t="s">
        <v>158</v>
      </c>
    </row>
    <row r="2" customFormat="false" ht="15" hidden="false" customHeight="false" outlineLevel="0" collapsed="false">
      <c r="A2" s="6" t="s">
        <v>159</v>
      </c>
    </row>
    <row r="5" customFormat="false" ht="31.5" hidden="false" customHeight="true" outlineLevel="0" collapsed="false">
      <c r="A5" s="13" t="s">
        <v>160</v>
      </c>
      <c r="B5" s="13" t="s">
        <v>161</v>
      </c>
      <c r="C5" s="13" t="s">
        <v>162</v>
      </c>
      <c r="D5" s="13" t="s">
        <v>163</v>
      </c>
      <c r="E5" s="13" t="s">
        <v>164</v>
      </c>
      <c r="F5" s="13" t="s">
        <v>165</v>
      </c>
      <c r="G5" s="13" t="s">
        <v>166</v>
      </c>
      <c r="H5" s="13" t="s">
        <v>67</v>
      </c>
      <c r="I5" s="13" t="s">
        <v>68</v>
      </c>
      <c r="J5" s="13" t="s">
        <v>69</v>
      </c>
      <c r="K5" s="13" t="s">
        <v>70</v>
      </c>
      <c r="L5" s="13" t="s">
        <v>167</v>
      </c>
      <c r="M5" s="13" t="s">
        <v>168</v>
      </c>
      <c r="N5" s="13" t="s">
        <v>169</v>
      </c>
      <c r="O5" s="13" t="s">
        <v>72</v>
      </c>
      <c r="P5" s="13" t="s">
        <v>170</v>
      </c>
      <c r="Q5" s="13" t="s">
        <v>171</v>
      </c>
    </row>
    <row r="6" customFormat="false" ht="15" hidden="false" customHeight="false" outlineLevel="0" collapsed="false">
      <c r="A6" s="14" t="s">
        <v>172</v>
      </c>
      <c r="B6" s="14" t="n">
        <v>1</v>
      </c>
      <c r="C6" s="14" t="s">
        <v>154</v>
      </c>
      <c r="D6" s="14" t="n">
        <v>82</v>
      </c>
      <c r="E6" s="14" t="n">
        <v>8.11</v>
      </c>
      <c r="F6" s="31" t="n">
        <v>0.0224</v>
      </c>
      <c r="G6" s="31" t="n">
        <v>0.4521</v>
      </c>
      <c r="H6" s="25" t="n">
        <v>741356.86</v>
      </c>
      <c r="I6" s="25" t="n">
        <v>7507.75</v>
      </c>
      <c r="J6" s="32" t="n">
        <f aca="false">F6*G6*H6</f>
        <v>7507.7505754944</v>
      </c>
      <c r="K6" s="32" t="n">
        <f aca="false">J6-I6</f>
        <v>0.000575494400436583</v>
      </c>
      <c r="L6" s="28" t="n">
        <f aca="false">IF(B6=1,12,IF(B6=2,MIN(MAX(D6,1),60),6))</f>
        <v>12</v>
      </c>
      <c r="M6" s="11" t="n">
        <f aca="false">IF(B6=3,1,IFERROR(INDEX(PD_TermStructure!$C$2:$C$241,MATCH(C6&amp;"|"&amp;L6,PD_TermStructure!$D$2:$D$241,0)),0))</f>
        <v>0.109872</v>
      </c>
      <c r="N6" s="22" t="n">
        <f aca="false">(1+E6/100)^(-(L6/12)/2)</f>
        <v>0.961760787713492</v>
      </c>
      <c r="O6" s="32" t="n">
        <f aca="false">IF(H6&lt;=0,0,M6*Assumptions!$B$3*H6*N6)</f>
        <v>32488.9696241106</v>
      </c>
      <c r="P6" s="25" t="n">
        <v>32488.97</v>
      </c>
      <c r="Q6" s="32" t="n">
        <f aca="false">O6-P6</f>
        <v>-0.000375889358110726</v>
      </c>
    </row>
    <row r="7" customFormat="false" ht="15" hidden="false" customHeight="false" outlineLevel="0" collapsed="false">
      <c r="A7" s="14" t="s">
        <v>173</v>
      </c>
      <c r="B7" s="14" t="n">
        <v>1</v>
      </c>
      <c r="C7" s="14" t="s">
        <v>155</v>
      </c>
      <c r="D7" s="14" t="n">
        <v>31</v>
      </c>
      <c r="E7" s="14" t="n">
        <v>11.36</v>
      </c>
      <c r="F7" s="31" t="n">
        <v>0.0224</v>
      </c>
      <c r="G7" s="31" t="n">
        <v>0.5551</v>
      </c>
      <c r="H7" s="25" t="n">
        <v>683790.85</v>
      </c>
      <c r="I7" s="25" t="n">
        <v>8502.42</v>
      </c>
      <c r="J7" s="32" t="n">
        <f aca="false">F7*G7*H7</f>
        <v>8502.419538704</v>
      </c>
      <c r="K7" s="32" t="n">
        <f aca="false">J7-I7</f>
        <v>-0.000461296000139555</v>
      </c>
      <c r="L7" s="28" t="n">
        <f aca="false">IF(B7=1,12,IF(B7=2,MIN(MAX(D7,1),60),6))</f>
        <v>12</v>
      </c>
      <c r="M7" s="11" t="n">
        <f aca="false">IF(B7=3,1,IFERROR(INDEX(PD_TermStructure!$C$2:$C$241,MATCH(C7&amp;"|"&amp;L7,PD_TermStructure!$D$2:$D$241,0)),0))</f>
        <v>0.164153</v>
      </c>
      <c r="N7" s="22" t="n">
        <f aca="false">(1+E7/100)^(-(L7/12)/2)</f>
        <v>0.947622554473629</v>
      </c>
      <c r="O7" s="32" t="n">
        <f aca="false">IF(H7&lt;=0,0,M7*Assumptions!$B$3*H7*N7)</f>
        <v>44112.5363475511</v>
      </c>
      <c r="P7" s="25" t="n">
        <v>44112.54</v>
      </c>
      <c r="Q7" s="32" t="n">
        <f aca="false">O7-P7</f>
        <v>-0.00365244888234884</v>
      </c>
    </row>
    <row r="8" customFormat="false" ht="15" hidden="false" customHeight="false" outlineLevel="0" collapsed="false">
      <c r="A8" s="14" t="s">
        <v>174</v>
      </c>
      <c r="B8" s="14" t="n">
        <v>1</v>
      </c>
      <c r="C8" s="14" t="s">
        <v>154</v>
      </c>
      <c r="D8" s="14" t="n">
        <v>58</v>
      </c>
      <c r="E8" s="14" t="n">
        <v>10.31</v>
      </c>
      <c r="F8" s="31" t="n">
        <v>0.0166</v>
      </c>
      <c r="G8" s="31" t="n">
        <v>0.6493</v>
      </c>
      <c r="H8" s="25" t="n">
        <v>300458.28</v>
      </c>
      <c r="I8" s="25" t="n">
        <v>3238.45</v>
      </c>
      <c r="J8" s="32" t="n">
        <f aca="false">F8*G8*H8</f>
        <v>3238.4535159864</v>
      </c>
      <c r="K8" s="32" t="n">
        <f aca="false">J8-I8</f>
        <v>0.00351598640054362</v>
      </c>
      <c r="L8" s="28" t="n">
        <f aca="false">IF(B8=1,12,IF(B8=2,MIN(MAX(D8,1),60),6))</f>
        <v>12</v>
      </c>
      <c r="M8" s="11" t="n">
        <f aca="false">IF(B8=3,1,IFERROR(INDEX(PD_TermStructure!$C$2:$C$241,MATCH(C8&amp;"|"&amp;L8,PD_TermStructure!$D$2:$D$241,0)),0))</f>
        <v>0.109872</v>
      </c>
      <c r="N8" s="22" t="n">
        <f aca="false">(1+E8/100)^(-(L8/12)/2)</f>
        <v>0.952121906829477</v>
      </c>
      <c r="O8" s="32" t="n">
        <f aca="false">IF(H8&lt;=0,0,M8*Assumptions!$B$3*H8*N8)</f>
        <v>13035.21790889</v>
      </c>
      <c r="P8" s="25" t="n">
        <v>13035.22</v>
      </c>
      <c r="Q8" s="32" t="n">
        <f aca="false">O8-P8</f>
        <v>-0.00209110998548567</v>
      </c>
    </row>
    <row r="9" customFormat="false" ht="15" hidden="false" customHeight="false" outlineLevel="0" collapsed="false">
      <c r="A9" s="14" t="s">
        <v>175</v>
      </c>
      <c r="B9" s="14" t="n">
        <v>1</v>
      </c>
      <c r="C9" s="14" t="s">
        <v>154</v>
      </c>
      <c r="D9" s="14" t="n">
        <v>67</v>
      </c>
      <c r="E9" s="14" t="n">
        <v>13.53</v>
      </c>
      <c r="F9" s="31" t="n">
        <v>0.0241</v>
      </c>
      <c r="G9" s="31" t="n">
        <v>0.5023</v>
      </c>
      <c r="H9" s="25" t="n">
        <v>1024346.59</v>
      </c>
      <c r="I9" s="25" t="n">
        <v>12400.16</v>
      </c>
      <c r="J9" s="32" t="n">
        <f aca="false">F9*G9*H9</f>
        <v>12400.1559409837</v>
      </c>
      <c r="K9" s="32" t="n">
        <f aca="false">J9-I9</f>
        <v>-0.00405901630256267</v>
      </c>
      <c r="L9" s="28" t="n">
        <f aca="false">IF(B9=1,12,IF(B9=2,MIN(MAX(D9,1),60),6))</f>
        <v>12</v>
      </c>
      <c r="M9" s="11" t="n">
        <f aca="false">IF(B9=3,1,IFERROR(INDEX(PD_TermStructure!$C$2:$C$241,MATCH(C9&amp;"|"&amp;L9,PD_TermStructure!$D$2:$D$241,0)),0))</f>
        <v>0.109872</v>
      </c>
      <c r="N9" s="22" t="n">
        <f aca="false">(1+E9/100)^(-(L9/12)/2)</f>
        <v>0.93852248331448</v>
      </c>
      <c r="O9" s="32" t="n">
        <f aca="false">IF(H9&lt;=0,0,M9*Assumptions!$B$3*H9*N9)</f>
        <v>43805.9565719679</v>
      </c>
      <c r="P9" s="25" t="n">
        <v>43805.96</v>
      </c>
      <c r="Q9" s="32" t="n">
        <f aca="false">O9-P9</f>
        <v>-0.00342803211970022</v>
      </c>
    </row>
    <row r="10" customFormat="false" ht="15" hidden="false" customHeight="false" outlineLevel="0" collapsed="false">
      <c r="A10" s="14" t="s">
        <v>176</v>
      </c>
      <c r="B10" s="14" t="n">
        <v>1</v>
      </c>
      <c r="C10" s="14" t="s">
        <v>154</v>
      </c>
      <c r="D10" s="14" t="n">
        <v>0</v>
      </c>
      <c r="E10" s="14" t="n">
        <v>12.62</v>
      </c>
      <c r="F10" s="31" t="n">
        <v>0.0193</v>
      </c>
      <c r="G10" s="31" t="n">
        <v>0.5053</v>
      </c>
      <c r="H10" s="25" t="n">
        <v>0</v>
      </c>
      <c r="I10" s="25" t="n">
        <v>0</v>
      </c>
      <c r="J10" s="32" t="n">
        <f aca="false">F10*G10*H10</f>
        <v>0</v>
      </c>
      <c r="K10" s="32" t="n">
        <f aca="false">J10-I10</f>
        <v>0</v>
      </c>
      <c r="L10" s="28" t="n">
        <f aca="false">IF(B10=1,12,IF(B10=2,MIN(MAX(D10,1),60),6))</f>
        <v>12</v>
      </c>
      <c r="M10" s="11" t="n">
        <f aca="false">IF(B10=3,1,IFERROR(INDEX(PD_TermStructure!$C$2:$C$241,MATCH(C10&amp;"|"&amp;L10,PD_TermStructure!$D$2:$D$241,0)),0))</f>
        <v>0.109872</v>
      </c>
      <c r="N10" s="22" t="n">
        <f aca="false">(1+E10/100)^(-(L10/12)/2)</f>
        <v>0.942306612001175</v>
      </c>
      <c r="O10" s="32" t="n">
        <f aca="false">IF(H10&lt;=0,0,M10*Assumptions!$B$3*H10*N10)</f>
        <v>0</v>
      </c>
      <c r="P10" s="25" t="n">
        <v>0</v>
      </c>
      <c r="Q10" s="32" t="n">
        <f aca="false">O10-P10</f>
        <v>0</v>
      </c>
    </row>
    <row r="11" customFormat="false" ht="15" hidden="false" customHeight="false" outlineLevel="0" collapsed="false">
      <c r="A11" s="14" t="s">
        <v>177</v>
      </c>
      <c r="B11" s="14" t="n">
        <v>1</v>
      </c>
      <c r="C11" s="14" t="s">
        <v>154</v>
      </c>
      <c r="D11" s="14" t="n">
        <v>81</v>
      </c>
      <c r="E11" s="14" t="n">
        <v>8.43</v>
      </c>
      <c r="F11" s="31" t="n">
        <v>0.0147</v>
      </c>
      <c r="G11" s="31" t="n">
        <v>0.5685</v>
      </c>
      <c r="H11" s="25" t="n">
        <v>490997.99</v>
      </c>
      <c r="I11" s="25" t="n">
        <v>4103.25</v>
      </c>
      <c r="J11" s="32" t="n">
        <f aca="false">F11*G11*H11</f>
        <v>4103.2456525305</v>
      </c>
      <c r="K11" s="32" t="n">
        <f aca="false">J11-I11</f>
        <v>-0.00434746950031695</v>
      </c>
      <c r="L11" s="28" t="n">
        <f aca="false">IF(B11=1,12,IF(B11=2,MIN(MAX(D11,1),60),6))</f>
        <v>12</v>
      </c>
      <c r="M11" s="11" t="n">
        <f aca="false">IF(B11=3,1,IFERROR(INDEX(PD_TermStructure!$C$2:$C$241,MATCH(C11&amp;"|"&amp;L11,PD_TermStructure!$D$2:$D$241,0)),0))</f>
        <v>0.109872</v>
      </c>
      <c r="N11" s="22" t="n">
        <f aca="false">(1+E11/100)^(-(L11/12)/2)</f>
        <v>0.960340558733464</v>
      </c>
      <c r="O11" s="32" t="n">
        <f aca="false">IF(H11&lt;=0,0,M11*Assumptions!$B$3*H11*N11)</f>
        <v>21485.5535148587</v>
      </c>
      <c r="P11" s="25" t="n">
        <v>21485.55</v>
      </c>
      <c r="Q11" s="32" t="n">
        <f aca="false">O11-P11</f>
        <v>0.00351485871215118</v>
      </c>
    </row>
    <row r="12" customFormat="false" ht="15" hidden="false" customHeight="false" outlineLevel="0" collapsed="false">
      <c r="A12" s="14" t="s">
        <v>178</v>
      </c>
      <c r="B12" s="14" t="n">
        <v>1</v>
      </c>
      <c r="C12" s="14" t="s">
        <v>154</v>
      </c>
      <c r="D12" s="14" t="n">
        <v>70</v>
      </c>
      <c r="E12" s="14" t="n">
        <v>13.35</v>
      </c>
      <c r="F12" s="31" t="n">
        <v>0.0159</v>
      </c>
      <c r="G12" s="31" t="n">
        <v>0.439</v>
      </c>
      <c r="H12" s="25" t="n">
        <v>611192.31</v>
      </c>
      <c r="I12" s="25" t="n">
        <v>4266.18</v>
      </c>
      <c r="J12" s="32" t="n">
        <f aca="false">F12*G12*H12</f>
        <v>4266.183443031</v>
      </c>
      <c r="K12" s="32" t="n">
        <f aca="false">J12-I12</f>
        <v>0.0034430310006428</v>
      </c>
      <c r="L12" s="28" t="n">
        <f aca="false">IF(B12=1,12,IF(B12=2,MIN(MAX(D12,1),60),6))</f>
        <v>12</v>
      </c>
      <c r="M12" s="11" t="n">
        <f aca="false">IF(B12=3,1,IFERROR(INDEX(PD_TermStructure!$C$2:$C$241,MATCH(C12&amp;"|"&amp;L12,PD_TermStructure!$D$2:$D$241,0)),0))</f>
        <v>0.109872</v>
      </c>
      <c r="N12" s="22" t="n">
        <f aca="false">(1+E12/100)^(-(L12/12)/2)</f>
        <v>0.939267375389045</v>
      </c>
      <c r="O12" s="32" t="n">
        <f aca="false">IF(H12&lt;=0,0,M12*Assumptions!$B$3*H12*N12)</f>
        <v>26158.2496482188</v>
      </c>
      <c r="P12" s="25" t="n">
        <v>26158.25</v>
      </c>
      <c r="Q12" s="32" t="n">
        <f aca="false">O12-P12</f>
        <v>-0.000351781240169657</v>
      </c>
    </row>
    <row r="13" customFormat="false" ht="15" hidden="false" customHeight="false" outlineLevel="0" collapsed="false">
      <c r="A13" s="14" t="s">
        <v>179</v>
      </c>
      <c r="B13" s="14" t="n">
        <v>2</v>
      </c>
      <c r="C13" s="14" t="s">
        <v>157</v>
      </c>
      <c r="D13" s="14" t="n">
        <v>60</v>
      </c>
      <c r="E13" s="14" t="n">
        <v>8.34</v>
      </c>
      <c r="F13" s="31" t="n">
        <v>0.117</v>
      </c>
      <c r="G13" s="31" t="n">
        <v>0.6495</v>
      </c>
      <c r="H13" s="25" t="n">
        <v>315288.3</v>
      </c>
      <c r="I13" s="25" t="n">
        <v>23959.23</v>
      </c>
      <c r="J13" s="32" t="n">
        <f aca="false">F13*G13*H13</f>
        <v>23959.23084945</v>
      </c>
      <c r="K13" s="32" t="n">
        <f aca="false">J13-I13</f>
        <v>0.000849449999805074</v>
      </c>
      <c r="L13" s="28" t="n">
        <f aca="false">IF(B13=1,12,IF(B13=2,MIN(MAX(D13,1),60),6))</f>
        <v>60</v>
      </c>
      <c r="M13" s="11" t="n">
        <f aca="false">IF(B13=3,1,IFERROR(INDEX(PD_TermStructure!$C$2:$C$241,MATCH(C13&amp;"|"&amp;L13,PD_TermStructure!$D$2:$D$241,0)),0))</f>
        <v>1</v>
      </c>
      <c r="N13" s="22" t="n">
        <f aca="false">(1+E13/100)^(-(L13/12)/2)</f>
        <v>0.818517410962599</v>
      </c>
      <c r="O13" s="32" t="n">
        <f aca="false">IF(H13&lt;=0,0,M13*Assumptions!$B$3*H13*N13)</f>
        <v>107026.249760597</v>
      </c>
      <c r="P13" s="25" t="n">
        <v>107026.25</v>
      </c>
      <c r="Q13" s="32" t="n">
        <f aca="false">O13-P13</f>
        <v>-0.000239403219893575</v>
      </c>
    </row>
    <row r="14" customFormat="false" ht="15" hidden="false" customHeight="false" outlineLevel="0" collapsed="false">
      <c r="A14" s="14" t="s">
        <v>180</v>
      </c>
      <c r="B14" s="14" t="n">
        <v>1</v>
      </c>
      <c r="C14" s="14" t="s">
        <v>154</v>
      </c>
      <c r="D14" s="14" t="n">
        <v>55</v>
      </c>
      <c r="E14" s="14" t="n">
        <v>7.55</v>
      </c>
      <c r="F14" s="31" t="n">
        <v>0.0216</v>
      </c>
      <c r="G14" s="31" t="n">
        <v>0.5988</v>
      </c>
      <c r="H14" s="25" t="n">
        <v>805215.48</v>
      </c>
      <c r="I14" s="25" t="n">
        <v>10414.72</v>
      </c>
      <c r="J14" s="32" t="n">
        <f aca="false">F14*G14*H14</f>
        <v>10414.7214355584</v>
      </c>
      <c r="K14" s="32" t="n">
        <f aca="false">J14-I14</f>
        <v>0.0014355584007717</v>
      </c>
      <c r="L14" s="28" t="n">
        <f aca="false">IF(B14=1,12,IF(B14=2,MIN(MAX(D14,1),60),6))</f>
        <v>12</v>
      </c>
      <c r="M14" s="11" t="n">
        <f aca="false">IF(B14=3,1,IFERROR(INDEX(PD_TermStructure!$C$2:$C$241,MATCH(C14&amp;"|"&amp;L14,PD_TermStructure!$D$2:$D$241,0)),0))</f>
        <v>0.109872</v>
      </c>
      <c r="N14" s="22" t="n">
        <f aca="false">(1+E14/100)^(-(L14/12)/2)</f>
        <v>0.964261423567286</v>
      </c>
      <c r="O14" s="32" t="n">
        <f aca="false">IF(H14&lt;=0,0,M14*Assumptions!$B$3*H14*N14)</f>
        <v>35379.2375486308</v>
      </c>
      <c r="P14" s="25" t="n">
        <v>35379.24</v>
      </c>
      <c r="Q14" s="32" t="n">
        <f aca="false">O14-P14</f>
        <v>-0.0024513691678294</v>
      </c>
    </row>
    <row r="15" customFormat="false" ht="15" hidden="false" customHeight="false" outlineLevel="0" collapsed="false">
      <c r="A15" s="14" t="s">
        <v>181</v>
      </c>
      <c r="B15" s="14" t="n">
        <v>3</v>
      </c>
      <c r="C15" s="14" t="s">
        <v>182</v>
      </c>
      <c r="D15" s="14" t="n">
        <v>31</v>
      </c>
      <c r="E15" s="14" t="n">
        <v>7.79</v>
      </c>
      <c r="F15" s="31" t="n">
        <v>1</v>
      </c>
      <c r="G15" s="31" t="n">
        <v>0.6092</v>
      </c>
      <c r="H15" s="25" t="n">
        <v>230067.02</v>
      </c>
      <c r="I15" s="25" t="n">
        <v>140156.83</v>
      </c>
      <c r="J15" s="32" t="n">
        <f aca="false">F15*G15*H15</f>
        <v>140156.828584</v>
      </c>
      <c r="K15" s="32" t="n">
        <f aca="false">J15-I15</f>
        <v>-0.00141600001370534</v>
      </c>
      <c r="L15" s="28" t="n">
        <f aca="false">IF(B15=1,12,IF(B15=2,MIN(MAX(D15,1),60),6))</f>
        <v>6</v>
      </c>
      <c r="M15" s="11" t="n">
        <f aca="false">IF(B15=3,1,IFERROR(INDEX(PD_TermStructure!$C$2:$C$241,MATCH(C15&amp;"|"&amp;L15,PD_TermStructure!$D$2:$D$241,0)),0))</f>
        <v>1</v>
      </c>
      <c r="N15" s="22" t="n">
        <f aca="false">(1+E15/100)^(-(L15/12)/2)</f>
        <v>0.981421080084991</v>
      </c>
      <c r="O15" s="32" t="n">
        <f aca="false">IF(H15&lt;=0,0,M15*Assumptions!$B$3*H15*N15)</f>
        <v>93640.6199649278</v>
      </c>
      <c r="P15" s="25" t="n">
        <v>93640.62</v>
      </c>
      <c r="Q15" s="32" t="n">
        <f aca="false">O15-P15</f>
        <v>-3.50721529684961E-005</v>
      </c>
    </row>
    <row r="16" customFormat="false" ht="15" hidden="false" customHeight="false" outlineLevel="0" collapsed="false">
      <c r="A16" s="14" t="s">
        <v>183</v>
      </c>
      <c r="B16" s="14" t="n">
        <v>2</v>
      </c>
      <c r="C16" s="14" t="s">
        <v>156</v>
      </c>
      <c r="D16" s="14" t="n">
        <v>42</v>
      </c>
      <c r="E16" s="14" t="n">
        <v>9.8</v>
      </c>
      <c r="F16" s="31" t="n">
        <v>0.1117</v>
      </c>
      <c r="G16" s="31" t="n">
        <v>0.523</v>
      </c>
      <c r="H16" s="25" t="n">
        <v>461015.87</v>
      </c>
      <c r="I16" s="25" t="n">
        <v>26932.13</v>
      </c>
      <c r="J16" s="32" t="n">
        <f aca="false">F16*G16*H16</f>
        <v>26932.132211117</v>
      </c>
      <c r="K16" s="32" t="n">
        <f aca="false">J16-I16</f>
        <v>0.00221111700011534</v>
      </c>
      <c r="L16" s="28" t="n">
        <f aca="false">IF(B16=1,12,IF(B16=2,MIN(MAX(D16,1),60),6))</f>
        <v>42</v>
      </c>
      <c r="M16" s="11" t="n">
        <f aca="false">IF(B16=3,1,IFERROR(INDEX(PD_TermStructure!$C$2:$C$241,MATCH(C16&amp;"|"&amp;L16,PD_TermStructure!$D$2:$D$241,0)),0))</f>
        <v>1</v>
      </c>
      <c r="N16" s="22" t="n">
        <f aca="false">(1+E16/100)^(-(L16/12)/2)</f>
        <v>0.849074708722333</v>
      </c>
      <c r="O16" s="32" t="n">
        <f aca="false">IF(H16&lt;=0,0,M16*Assumptions!$B$3*H16*N16)</f>
        <v>162336.5498781</v>
      </c>
      <c r="P16" s="25" t="n">
        <v>162336.55</v>
      </c>
      <c r="Q16" s="32" t="n">
        <f aca="false">O16-P16</f>
        <v>-0.000121899822261184</v>
      </c>
    </row>
    <row r="17" customFormat="false" ht="15" hidden="false" customHeight="false" outlineLevel="0" collapsed="false">
      <c r="A17" s="14" t="s">
        <v>184</v>
      </c>
      <c r="B17" s="14" t="n">
        <v>1</v>
      </c>
      <c r="C17" s="14" t="s">
        <v>154</v>
      </c>
      <c r="D17" s="14" t="n">
        <v>19</v>
      </c>
      <c r="E17" s="14" t="n">
        <v>12.17</v>
      </c>
      <c r="F17" s="31" t="n">
        <v>0.0196</v>
      </c>
      <c r="G17" s="31" t="n">
        <v>0.4826</v>
      </c>
      <c r="H17" s="25" t="n">
        <v>206002.75</v>
      </c>
      <c r="I17" s="25" t="n">
        <v>1948.57</v>
      </c>
      <c r="J17" s="32" t="n">
        <f aca="false">F17*G17*H17</f>
        <v>1948.57177214</v>
      </c>
      <c r="K17" s="32" t="n">
        <f aca="false">J17-I17</f>
        <v>0.00177213999972992</v>
      </c>
      <c r="L17" s="28" t="n">
        <f aca="false">IF(B17=1,12,IF(B17=2,MIN(MAX(D17,1),60),6))</f>
        <v>12</v>
      </c>
      <c r="M17" s="11" t="n">
        <f aca="false">IF(B17=3,1,IFERROR(INDEX(PD_TermStructure!$C$2:$C$241,MATCH(C17&amp;"|"&amp;L17,PD_TermStructure!$D$2:$D$241,0)),0))</f>
        <v>0.109872</v>
      </c>
      <c r="N17" s="22" t="n">
        <f aca="false">(1+E17/100)^(-(L17/12)/2)</f>
        <v>0.944194877762347</v>
      </c>
      <c r="O17" s="32" t="n">
        <f aca="false">IF(H17&lt;=0,0,M17*Assumptions!$B$3*H17*N17)</f>
        <v>8862.90755069584</v>
      </c>
      <c r="P17" s="25" t="n">
        <v>8862.91</v>
      </c>
      <c r="Q17" s="32" t="n">
        <f aca="false">O17-P17</f>
        <v>-0.00244930416192801</v>
      </c>
    </row>
    <row r="18" customFormat="false" ht="15" hidden="false" customHeight="false" outlineLevel="0" collapsed="false">
      <c r="A18" s="14" t="s">
        <v>185</v>
      </c>
      <c r="B18" s="14" t="n">
        <v>1</v>
      </c>
      <c r="C18" s="14" t="s">
        <v>154</v>
      </c>
      <c r="D18" s="14" t="n">
        <v>46</v>
      </c>
      <c r="E18" s="14" t="n">
        <v>11.78</v>
      </c>
      <c r="F18" s="31" t="n">
        <v>0.0146</v>
      </c>
      <c r="G18" s="31" t="n">
        <v>0.4248</v>
      </c>
      <c r="H18" s="25" t="n">
        <v>324218.93</v>
      </c>
      <c r="I18" s="25" t="n">
        <v>2010.83</v>
      </c>
      <c r="J18" s="32" t="n">
        <f aca="false">F18*G18*H18</f>
        <v>2010.8317413744</v>
      </c>
      <c r="K18" s="32" t="n">
        <f aca="false">J18-I18</f>
        <v>0.00174137440012601</v>
      </c>
      <c r="L18" s="28" t="n">
        <f aca="false">IF(B18=1,12,IF(B18=2,MIN(MAX(D18,1),60),6))</f>
        <v>12</v>
      </c>
      <c r="M18" s="11" t="n">
        <f aca="false">IF(B18=3,1,IFERROR(INDEX(PD_TermStructure!$C$2:$C$241,MATCH(C18&amp;"|"&amp;L18,PD_TermStructure!$D$2:$D$241,0)),0))</f>
        <v>0.109872</v>
      </c>
      <c r="N18" s="22" t="n">
        <f aca="false">(1+E18/100)^(-(L18/12)/2)</f>
        <v>0.945840589731943</v>
      </c>
      <c r="O18" s="32" t="n">
        <f aca="false">IF(H18&lt;=0,0,M18*Assumptions!$B$3*H18*N18)</f>
        <v>13973.264397501</v>
      </c>
      <c r="P18" s="25" t="n">
        <v>13973.26</v>
      </c>
      <c r="Q18" s="32" t="n">
        <f aca="false">O18-P18</f>
        <v>0.00439750095574709</v>
      </c>
    </row>
    <row r="19" customFormat="false" ht="15" hidden="false" customHeight="false" outlineLevel="0" collapsed="false">
      <c r="A19" s="14" t="s">
        <v>186</v>
      </c>
      <c r="B19" s="14" t="n">
        <v>1</v>
      </c>
      <c r="C19" s="14" t="s">
        <v>154</v>
      </c>
      <c r="D19" s="14" t="n">
        <v>56</v>
      </c>
      <c r="E19" s="14" t="n">
        <v>10.65</v>
      </c>
      <c r="F19" s="31" t="n">
        <v>0.0225</v>
      </c>
      <c r="G19" s="31" t="n">
        <v>0.3693</v>
      </c>
      <c r="H19" s="25" t="n">
        <v>627656.76</v>
      </c>
      <c r="I19" s="25" t="n">
        <v>5215.36</v>
      </c>
      <c r="J19" s="32" t="n">
        <f aca="false">F19*G19*H19</f>
        <v>5215.35693303</v>
      </c>
      <c r="K19" s="32" t="n">
        <f aca="false">J19-I19</f>
        <v>-0.00306696999905398</v>
      </c>
      <c r="L19" s="28" t="n">
        <f aca="false">IF(B19=1,12,IF(B19=2,MIN(MAX(D19,1),60),6))</f>
        <v>12</v>
      </c>
      <c r="M19" s="11" t="n">
        <f aca="false">IF(B19=3,1,IFERROR(INDEX(PD_TermStructure!$C$2:$C$241,MATCH(C19&amp;"|"&amp;L19,PD_TermStructure!$D$2:$D$241,0)),0))</f>
        <v>0.109872</v>
      </c>
      <c r="N19" s="22" t="n">
        <f aca="false">(1+E19/100)^(-(L19/12)/2)</f>
        <v>0.950657964172237</v>
      </c>
      <c r="O19" s="32" t="n">
        <f aca="false">IF(H19&lt;=0,0,M19*Assumptions!$B$3*H19*N19)</f>
        <v>27188.676206477</v>
      </c>
      <c r="P19" s="25" t="n">
        <v>27188.68</v>
      </c>
      <c r="Q19" s="32" t="n">
        <f aca="false">O19-P19</f>
        <v>-0.00379352303934866</v>
      </c>
    </row>
    <row r="20" customFormat="false" ht="15" hidden="false" customHeight="false" outlineLevel="0" collapsed="false">
      <c r="A20" s="14" t="s">
        <v>187</v>
      </c>
      <c r="B20" s="14" t="n">
        <v>1</v>
      </c>
      <c r="C20" s="14" t="s">
        <v>154</v>
      </c>
      <c r="D20" s="14" t="n">
        <v>66</v>
      </c>
      <c r="E20" s="14" t="n">
        <v>11.27</v>
      </c>
      <c r="F20" s="31" t="n">
        <v>0.0249</v>
      </c>
      <c r="G20" s="31" t="n">
        <v>0.5276</v>
      </c>
      <c r="H20" s="25" t="n">
        <v>1131595.97</v>
      </c>
      <c r="I20" s="25" t="n">
        <v>14866.05</v>
      </c>
      <c r="J20" s="32" t="n">
        <f aca="false">F20*G20*H20</f>
        <v>14866.0478409228</v>
      </c>
      <c r="K20" s="32" t="n">
        <f aca="false">J20-I20</f>
        <v>-0.00215907720121322</v>
      </c>
      <c r="L20" s="28" t="n">
        <f aca="false">IF(B20=1,12,IF(B20=2,MIN(MAX(D20,1),60),6))</f>
        <v>12</v>
      </c>
      <c r="M20" s="11" t="n">
        <f aca="false">IF(B20=3,1,IFERROR(INDEX(PD_TermStructure!$C$2:$C$241,MATCH(C20&amp;"|"&amp;L20,PD_TermStructure!$D$2:$D$241,0)),0))</f>
        <v>0.109872</v>
      </c>
      <c r="N20" s="22" t="n">
        <f aca="false">(1+E20/100)^(-(L20/12)/2)</f>
        <v>0.948005716112499</v>
      </c>
      <c r="O20" s="32" t="n">
        <f aca="false">IF(H20&lt;=0,0,M20*Assumptions!$B$3*H20*N20)</f>
        <v>48881.4307645645</v>
      </c>
      <c r="P20" s="25" t="n">
        <v>48881.43</v>
      </c>
      <c r="Q20" s="32" t="n">
        <f aca="false">O20-P20</f>
        <v>0.000764564516430255</v>
      </c>
    </row>
    <row r="21" customFormat="false" ht="15" hidden="false" customHeight="false" outlineLevel="0" collapsed="false">
      <c r="A21" s="14" t="s">
        <v>188</v>
      </c>
      <c r="B21" s="14" t="n">
        <v>3</v>
      </c>
      <c r="C21" s="14" t="s">
        <v>189</v>
      </c>
      <c r="D21" s="14" t="n">
        <v>41</v>
      </c>
      <c r="E21" s="14" t="n">
        <v>9.27</v>
      </c>
      <c r="F21" s="31" t="n">
        <v>0.6806</v>
      </c>
      <c r="G21" s="31" t="n">
        <v>0.5322</v>
      </c>
      <c r="H21" s="25" t="n">
        <v>779822.13</v>
      </c>
      <c r="I21" s="25" t="n">
        <v>282463.52</v>
      </c>
      <c r="J21" s="32" t="n">
        <f aca="false">F21*G21*H21</f>
        <v>282463.522361032</v>
      </c>
      <c r="K21" s="32" t="n">
        <f aca="false">J21-I21</f>
        <v>0.0023610315984115</v>
      </c>
      <c r="L21" s="28" t="n">
        <f aca="false">IF(B21=1,12,IF(B21=2,MIN(MAX(D21,1),60),6))</f>
        <v>6</v>
      </c>
      <c r="M21" s="11" t="n">
        <f aca="false">IF(B21=3,1,IFERROR(INDEX(PD_TermStructure!$C$2:$C$241,MATCH(C21&amp;"|"&amp;L21,PD_TermStructure!$D$2:$D$241,0)),0))</f>
        <v>1</v>
      </c>
      <c r="N21" s="22" t="n">
        <f aca="false">(1+E21/100)^(-(L21/12)/2)</f>
        <v>0.978080868831864</v>
      </c>
      <c r="O21" s="32" t="n">
        <f aca="false">IF(H21&lt;=0,0,M21*Assumptions!$B$3*H21*N21)</f>
        <v>316318.6881904</v>
      </c>
      <c r="P21" s="25" t="n">
        <v>316318.69</v>
      </c>
      <c r="Q21" s="32" t="n">
        <f aca="false">O21-P21</f>
        <v>-0.00180959969293326</v>
      </c>
    </row>
    <row r="22" customFormat="false" ht="15" hidden="false" customHeight="false" outlineLevel="0" collapsed="false">
      <c r="A22" s="14" t="s">
        <v>190</v>
      </c>
      <c r="B22" s="14" t="n">
        <v>1</v>
      </c>
      <c r="C22" s="14" t="s">
        <v>154</v>
      </c>
      <c r="D22" s="14" t="n">
        <v>24</v>
      </c>
      <c r="E22" s="14" t="n">
        <v>8.21</v>
      </c>
      <c r="F22" s="31" t="n">
        <v>0.0225</v>
      </c>
      <c r="G22" s="31" t="n">
        <v>0.4806</v>
      </c>
      <c r="H22" s="25" t="n">
        <v>312941.81</v>
      </c>
      <c r="I22" s="25" t="n">
        <v>3384</v>
      </c>
      <c r="J22" s="32" t="n">
        <f aca="false">F22*G22*H22</f>
        <v>3383.996262435</v>
      </c>
      <c r="K22" s="32" t="n">
        <f aca="false">J22-I22</f>
        <v>-0.0037375649999376</v>
      </c>
      <c r="L22" s="28" t="n">
        <f aca="false">IF(B22=1,12,IF(B22=2,MIN(MAX(D22,1),60),6))</f>
        <v>12</v>
      </c>
      <c r="M22" s="11" t="n">
        <f aca="false">IF(B22=3,1,IFERROR(INDEX(PD_TermStructure!$C$2:$C$241,MATCH(C22&amp;"|"&amp;L22,PD_TermStructure!$D$2:$D$241,0)),0))</f>
        <v>0.109872</v>
      </c>
      <c r="N22" s="22" t="n">
        <f aca="false">(1+E22/100)^(-(L22/12)/2)</f>
        <v>0.961316289474788</v>
      </c>
      <c r="O22" s="32" t="n">
        <f aca="false">IF(H22&lt;=0,0,M22*Assumptions!$B$3*H22*N22)</f>
        <v>13707.9165774504</v>
      </c>
      <c r="P22" s="25" t="n">
        <v>13707.92</v>
      </c>
      <c r="Q22" s="32" t="n">
        <f aca="false">O22-P22</f>
        <v>-0.00342254964380118</v>
      </c>
    </row>
    <row r="23" customFormat="false" ht="15" hidden="false" customHeight="false" outlineLevel="0" collapsed="false">
      <c r="A23" s="14" t="s">
        <v>191</v>
      </c>
      <c r="B23" s="14" t="n">
        <v>1</v>
      </c>
      <c r="C23" s="14" t="s">
        <v>155</v>
      </c>
      <c r="D23" s="14" t="n">
        <v>66</v>
      </c>
      <c r="E23" s="14" t="n">
        <v>11.49</v>
      </c>
      <c r="F23" s="31" t="n">
        <v>0.0169</v>
      </c>
      <c r="G23" s="31" t="n">
        <v>0.4719</v>
      </c>
      <c r="H23" s="25" t="n">
        <v>419147.19</v>
      </c>
      <c r="I23" s="25" t="n">
        <v>3342.74</v>
      </c>
      <c r="J23" s="32" t="n">
        <f aca="false">F23*G23*H23</f>
        <v>3342.7449464409</v>
      </c>
      <c r="K23" s="32" t="n">
        <f aca="false">J23-I23</f>
        <v>0.00494644089985741</v>
      </c>
      <c r="L23" s="28" t="n">
        <f aca="false">IF(B23=1,12,IF(B23=2,MIN(MAX(D23,1),60),6))</f>
        <v>12</v>
      </c>
      <c r="M23" s="11" t="n">
        <f aca="false">IF(B23=3,1,IFERROR(INDEX(PD_TermStructure!$C$2:$C$241,MATCH(C23&amp;"|"&amp;L23,PD_TermStructure!$D$2:$D$241,0)),0))</f>
        <v>0.164153</v>
      </c>
      <c r="N23" s="22" t="n">
        <f aca="false">(1+E23/100)^(-(L23/12)/2)</f>
        <v>0.947069918076083</v>
      </c>
      <c r="O23" s="32" t="n">
        <f aca="false">IF(H23&lt;=0,0,M23*Assumptions!$B$3*H23*N23)</f>
        <v>27024.1446279784</v>
      </c>
      <c r="P23" s="25" t="n">
        <v>27024.14</v>
      </c>
      <c r="Q23" s="32" t="n">
        <f aca="false">O23-P23</f>
        <v>0.0046279783709906</v>
      </c>
    </row>
    <row r="24" customFormat="false" ht="15" hidden="false" customHeight="false" outlineLevel="0" collapsed="false">
      <c r="A24" s="14" t="s">
        <v>192</v>
      </c>
      <c r="B24" s="14" t="n">
        <v>1</v>
      </c>
      <c r="C24" s="14" t="s">
        <v>154</v>
      </c>
      <c r="D24" s="14" t="n">
        <v>29</v>
      </c>
      <c r="E24" s="14" t="n">
        <v>10.48</v>
      </c>
      <c r="F24" s="31" t="n">
        <v>0.0258</v>
      </c>
      <c r="G24" s="31" t="n">
        <v>0.5998</v>
      </c>
      <c r="H24" s="25" t="n">
        <v>435673.85</v>
      </c>
      <c r="I24" s="25" t="n">
        <v>6741.98</v>
      </c>
      <c r="J24" s="32" t="n">
        <f aca="false">F24*G24*H24</f>
        <v>6741.983120934</v>
      </c>
      <c r="K24" s="32" t="n">
        <f aca="false">J24-I24</f>
        <v>0.00312093400043523</v>
      </c>
      <c r="L24" s="28" t="n">
        <f aca="false">IF(B24=1,12,IF(B24=2,MIN(MAX(D24,1),60),6))</f>
        <v>12</v>
      </c>
      <c r="M24" s="11" t="n">
        <f aca="false">IF(B24=3,1,IFERROR(INDEX(PD_TermStructure!$C$2:$C$241,MATCH(C24&amp;"|"&amp;L24,PD_TermStructure!$D$2:$D$241,0)),0))</f>
        <v>0.109872</v>
      </c>
      <c r="N24" s="22" t="n">
        <f aca="false">(1+E24/100)^(-(L24/12)/2)</f>
        <v>0.951389090765454</v>
      </c>
      <c r="O24" s="32" t="n">
        <f aca="false">IF(H24&lt;=0,0,M24*Assumptions!$B$3*H24*N24)</f>
        <v>18886.9235283034</v>
      </c>
      <c r="P24" s="25" t="n">
        <v>18886.92</v>
      </c>
      <c r="Q24" s="32" t="n">
        <f aca="false">O24-P24</f>
        <v>0.0035283034267195</v>
      </c>
    </row>
    <row r="25" customFormat="false" ht="15" hidden="false" customHeight="false" outlineLevel="0" collapsed="false">
      <c r="A25" s="14" t="s">
        <v>193</v>
      </c>
      <c r="B25" s="14" t="n">
        <v>1</v>
      </c>
      <c r="C25" s="14" t="s">
        <v>155</v>
      </c>
      <c r="D25" s="14" t="n">
        <v>0</v>
      </c>
      <c r="E25" s="14" t="n">
        <v>13.61</v>
      </c>
      <c r="F25" s="31" t="n">
        <v>0.0259</v>
      </c>
      <c r="G25" s="31" t="n">
        <v>0.3855</v>
      </c>
      <c r="H25" s="25" t="n">
        <v>0</v>
      </c>
      <c r="I25" s="25" t="n">
        <v>0</v>
      </c>
      <c r="J25" s="32" t="n">
        <f aca="false">F25*G25*H25</f>
        <v>0</v>
      </c>
      <c r="K25" s="32" t="n">
        <f aca="false">J25-I25</f>
        <v>0</v>
      </c>
      <c r="L25" s="28" t="n">
        <f aca="false">IF(B25=1,12,IF(B25=2,MIN(MAX(D25,1),60),6))</f>
        <v>12</v>
      </c>
      <c r="M25" s="11" t="n">
        <f aca="false">IF(B25=3,1,IFERROR(INDEX(PD_TermStructure!$C$2:$C$241,MATCH(C25&amp;"|"&amp;L25,PD_TermStructure!$D$2:$D$241,0)),0))</f>
        <v>0.164153</v>
      </c>
      <c r="N25" s="22" t="n">
        <f aca="false">(1+E25/100)^(-(L25/12)/2)</f>
        <v>0.938191988548246</v>
      </c>
      <c r="O25" s="32" t="n">
        <f aca="false">IF(H25&lt;=0,0,M25*Assumptions!$B$3*H25*N25)</f>
        <v>0</v>
      </c>
      <c r="P25" s="25" t="n">
        <v>0</v>
      </c>
      <c r="Q25" s="32" t="n">
        <f aca="false">O25-P25</f>
        <v>0</v>
      </c>
    </row>
    <row r="26" customFormat="false" ht="15" hidden="false" customHeight="false" outlineLevel="0" collapsed="false">
      <c r="A26" s="14" t="s">
        <v>194</v>
      </c>
      <c r="B26" s="14" t="n">
        <v>1</v>
      </c>
      <c r="C26" s="14" t="s">
        <v>154</v>
      </c>
      <c r="D26" s="14" t="n">
        <v>20</v>
      </c>
      <c r="E26" s="14" t="n">
        <v>14.13</v>
      </c>
      <c r="F26" s="31" t="n">
        <v>0.0222</v>
      </c>
      <c r="G26" s="31" t="n">
        <v>0.6272</v>
      </c>
      <c r="H26" s="25" t="n">
        <v>779763.04</v>
      </c>
      <c r="I26" s="25" t="n">
        <v>10857.3</v>
      </c>
      <c r="J26" s="32" t="n">
        <f aca="false">F26*G26*H26</f>
        <v>10857.2958068736</v>
      </c>
      <c r="K26" s="32" t="n">
        <f aca="false">J26-I26</f>
        <v>-0.00419312639860436</v>
      </c>
      <c r="L26" s="28" t="n">
        <f aca="false">IF(B26=1,12,IF(B26=2,MIN(MAX(D26,1),60),6))</f>
        <v>12</v>
      </c>
      <c r="M26" s="11" t="n">
        <f aca="false">IF(B26=3,1,IFERROR(INDEX(PD_TermStructure!$C$2:$C$241,MATCH(C26&amp;"|"&amp;L26,PD_TermStructure!$D$2:$D$241,0)),0))</f>
        <v>0.109872</v>
      </c>
      <c r="N26" s="22" t="n">
        <f aca="false">(1+E26/100)^(-(L26/12)/2)</f>
        <v>0.936052249648316</v>
      </c>
      <c r="O26" s="32" t="n">
        <f aca="false">IF(H26&lt;=0,0,M26*Assumptions!$B$3*H26*N26)</f>
        <v>33258.6256419759</v>
      </c>
      <c r="P26" s="25" t="n">
        <v>33258.63</v>
      </c>
      <c r="Q26" s="32" t="n">
        <f aca="false">O26-P26</f>
        <v>-0.00435802407446317</v>
      </c>
    </row>
    <row r="27" customFormat="false" ht="15" hidden="false" customHeight="false" outlineLevel="0" collapsed="false">
      <c r="A27" s="14" t="s">
        <v>195</v>
      </c>
      <c r="B27" s="14" t="n">
        <v>1</v>
      </c>
      <c r="C27" s="14" t="s">
        <v>154</v>
      </c>
      <c r="D27" s="14" t="n">
        <v>1</v>
      </c>
      <c r="E27" s="14" t="n">
        <v>10.78</v>
      </c>
      <c r="F27" s="31" t="n">
        <v>0.0209</v>
      </c>
      <c r="G27" s="31" t="n">
        <v>0.5789</v>
      </c>
      <c r="H27" s="25" t="n">
        <v>43969.35</v>
      </c>
      <c r="I27" s="25" t="n">
        <v>531.99</v>
      </c>
      <c r="J27" s="32" t="n">
        <f aca="false">F27*G27*H27</f>
        <v>531.9856053435</v>
      </c>
      <c r="K27" s="32" t="n">
        <f aca="false">J27-I27</f>
        <v>-0.00439465650003967</v>
      </c>
      <c r="L27" s="28" t="n">
        <f aca="false">IF(B27=1,12,IF(B27=2,MIN(MAX(D27,1),60),6))</f>
        <v>12</v>
      </c>
      <c r="M27" s="11" t="n">
        <f aca="false">IF(B27=3,1,IFERROR(INDEX(PD_TermStructure!$C$2:$C$241,MATCH(C27&amp;"|"&amp;L27,PD_TermStructure!$D$2:$D$241,0)),0))</f>
        <v>0.109872</v>
      </c>
      <c r="N27" s="22" t="n">
        <f aca="false">(1+E27/100)^(-(L27/12)/2)</f>
        <v>0.950100003288296</v>
      </c>
      <c r="O27" s="32" t="n">
        <f aca="false">IF(H27&lt;=0,0,M27*Assumptions!$B$3*H27*N27)</f>
        <v>1903.53526175554</v>
      </c>
      <c r="P27" s="25" t="n">
        <v>1903.54</v>
      </c>
      <c r="Q27" s="32" t="n">
        <f aca="false">O27-P27</f>
        <v>-0.00473824445521132</v>
      </c>
    </row>
    <row r="28" customFormat="false" ht="15" hidden="false" customHeight="false" outlineLevel="0" collapsed="false">
      <c r="A28" s="14" t="s">
        <v>196</v>
      </c>
      <c r="B28" s="14" t="n">
        <v>1</v>
      </c>
      <c r="C28" s="14" t="s">
        <v>154</v>
      </c>
      <c r="D28" s="14" t="n">
        <v>36</v>
      </c>
      <c r="E28" s="14" t="n">
        <v>9.81</v>
      </c>
      <c r="F28" s="31" t="n">
        <v>0.0231</v>
      </c>
      <c r="G28" s="31" t="n">
        <v>0.4111</v>
      </c>
      <c r="H28" s="25" t="n">
        <v>821068.97</v>
      </c>
      <c r="I28" s="25" t="n">
        <v>7797.21</v>
      </c>
      <c r="J28" s="32" t="n">
        <f aca="false">F28*G28*H28</f>
        <v>7797.2075773977</v>
      </c>
      <c r="K28" s="32" t="n">
        <f aca="false">J28-I28</f>
        <v>-0.0024226022997027</v>
      </c>
      <c r="L28" s="28" t="n">
        <f aca="false">IF(B28=1,12,IF(B28=2,MIN(MAX(D28,1),60),6))</f>
        <v>12</v>
      </c>
      <c r="M28" s="11" t="n">
        <f aca="false">IF(B28=3,1,IFERROR(INDEX(PD_TermStructure!$C$2:$C$241,MATCH(C28&amp;"|"&amp;L28,PD_TermStructure!$D$2:$D$241,0)),0))</f>
        <v>0.109872</v>
      </c>
      <c r="N28" s="22" t="n">
        <f aca="false">(1+E28/100)^(-(L28/12)/2)</f>
        <v>0.954287102482329</v>
      </c>
      <c r="O28" s="32" t="n">
        <f aca="false">IF(H28&lt;=0,0,M28*Assumptions!$B$3*H28*N28)</f>
        <v>35702.6337586315</v>
      </c>
      <c r="P28" s="25" t="n">
        <v>35702.63</v>
      </c>
      <c r="Q28" s="32" t="n">
        <f aca="false">O28-P28</f>
        <v>0.00375863153021783</v>
      </c>
    </row>
    <row r="29" customFormat="false" ht="15" hidden="false" customHeight="false" outlineLevel="0" collapsed="false">
      <c r="A29" s="14" t="s">
        <v>197</v>
      </c>
      <c r="B29" s="14" t="n">
        <v>1</v>
      </c>
      <c r="C29" s="14" t="s">
        <v>155</v>
      </c>
      <c r="D29" s="14" t="n">
        <v>31</v>
      </c>
      <c r="E29" s="14" t="n">
        <v>10.73</v>
      </c>
      <c r="F29" s="31" t="n">
        <v>0.0181</v>
      </c>
      <c r="G29" s="31" t="n">
        <v>0.5863</v>
      </c>
      <c r="H29" s="25" t="n">
        <v>414857.35</v>
      </c>
      <c r="I29" s="25" t="n">
        <v>4402.48</v>
      </c>
      <c r="J29" s="32" t="n">
        <f aca="false">F29*G29*H29</f>
        <v>4402.4786439205</v>
      </c>
      <c r="K29" s="32" t="n">
        <f aca="false">J29-I29</f>
        <v>-0.00135607949960104</v>
      </c>
      <c r="L29" s="28" t="n">
        <f aca="false">IF(B29=1,12,IF(B29=2,MIN(MAX(D29,1),60),6))</f>
        <v>12</v>
      </c>
      <c r="M29" s="11" t="n">
        <f aca="false">IF(B29=3,1,IFERROR(INDEX(PD_TermStructure!$C$2:$C$241,MATCH(C29&amp;"|"&amp;L29,PD_TermStructure!$D$2:$D$241,0)),0))</f>
        <v>0.164153</v>
      </c>
      <c r="N29" s="22" t="n">
        <f aca="false">(1+E29/100)^(-(L29/12)/2)</f>
        <v>0.95031448734261</v>
      </c>
      <c r="O29" s="32" t="n">
        <f aca="false">IF(H29&lt;=0,0,M29*Assumptions!$B$3*H29*N29)</f>
        <v>26839.1955233173</v>
      </c>
      <c r="P29" s="25" t="n">
        <v>26839.2</v>
      </c>
      <c r="Q29" s="32" t="n">
        <f aca="false">O29-P29</f>
        <v>-0.00447668273409363</v>
      </c>
    </row>
    <row r="30" customFormat="false" ht="15" hidden="false" customHeight="false" outlineLevel="0" collapsed="false">
      <c r="A30" s="14" t="s">
        <v>198</v>
      </c>
      <c r="B30" s="14" t="n">
        <v>1</v>
      </c>
      <c r="C30" s="14" t="s">
        <v>154</v>
      </c>
      <c r="D30" s="14" t="n">
        <v>45</v>
      </c>
      <c r="E30" s="14" t="n">
        <v>13.59</v>
      </c>
      <c r="F30" s="31" t="n">
        <v>0.0244</v>
      </c>
      <c r="G30" s="31" t="n">
        <v>0.6123</v>
      </c>
      <c r="H30" s="25" t="n">
        <v>904239.11</v>
      </c>
      <c r="I30" s="25" t="n">
        <v>13509.44</v>
      </c>
      <c r="J30" s="32" t="n">
        <f aca="false">F30*G30*H30</f>
        <v>13509.4408120932</v>
      </c>
      <c r="K30" s="32" t="n">
        <f aca="false">J30-I30</f>
        <v>0.000812093197964714</v>
      </c>
      <c r="L30" s="28" t="n">
        <f aca="false">IF(B30=1,12,IF(B30=2,MIN(MAX(D30,1),60),6))</f>
        <v>12</v>
      </c>
      <c r="M30" s="11" t="n">
        <f aca="false">IF(B30=3,1,IFERROR(INDEX(PD_TermStructure!$C$2:$C$241,MATCH(C30&amp;"|"&amp;L30,PD_TermStructure!$D$2:$D$241,0)),0))</f>
        <v>0.109872</v>
      </c>
      <c r="N30" s="22" t="n">
        <f aca="false">(1+E30/100)^(-(L30/12)/2)</f>
        <v>0.938274579506507</v>
      </c>
      <c r="O30" s="32" t="n">
        <f aca="false">IF(H30&lt;=0,0,M30*Assumptions!$B$3*H30*N30)</f>
        <v>38659.3723258496</v>
      </c>
      <c r="P30" s="25" t="n">
        <v>38659.37</v>
      </c>
      <c r="Q30" s="32" t="n">
        <f aca="false">O30-P30</f>
        <v>0.00232584955665516</v>
      </c>
    </row>
    <row r="31" customFormat="false" ht="15" hidden="false" customHeight="false" outlineLevel="0" collapsed="false">
      <c r="A31" s="14" t="s">
        <v>199</v>
      </c>
      <c r="B31" s="14" t="n">
        <v>1</v>
      </c>
      <c r="C31" s="14" t="s">
        <v>154</v>
      </c>
      <c r="D31" s="14" t="n">
        <v>44</v>
      </c>
      <c r="E31" s="14" t="n">
        <v>14.18</v>
      </c>
      <c r="F31" s="31" t="n">
        <v>0.0146</v>
      </c>
      <c r="G31" s="31" t="n">
        <v>0.5888</v>
      </c>
      <c r="H31" s="25" t="n">
        <v>1721697.95</v>
      </c>
      <c r="I31" s="25" t="n">
        <v>14800.54</v>
      </c>
      <c r="J31" s="32" t="n">
        <f aca="false">F31*G31*H31</f>
        <v>14800.541993216</v>
      </c>
      <c r="K31" s="32" t="n">
        <f aca="false">J31-I31</f>
        <v>0.0019932159993914</v>
      </c>
      <c r="L31" s="28" t="n">
        <f aca="false">IF(B31=1,12,IF(B31=2,MIN(MAX(D31,1),60),6))</f>
        <v>12</v>
      </c>
      <c r="M31" s="11" t="n">
        <f aca="false">IF(B31=3,1,IFERROR(INDEX(PD_TermStructure!$C$2:$C$241,MATCH(C31&amp;"|"&amp;L31,PD_TermStructure!$D$2:$D$241,0)),0))</f>
        <v>0.109872</v>
      </c>
      <c r="N31" s="22" t="n">
        <f aca="false">(1+E31/100)^(-(L31/12)/2)</f>
        <v>0.935847276196836</v>
      </c>
      <c r="O31" s="32" t="n">
        <f aca="false">IF(H31&lt;=0,0,M31*Assumptions!$B$3*H31*N31)</f>
        <v>73418.1613769707</v>
      </c>
      <c r="P31" s="25" t="n">
        <v>73418.16</v>
      </c>
      <c r="Q31" s="32" t="n">
        <f aca="false">O31-P31</f>
        <v>0.00137697072932497</v>
      </c>
    </row>
    <row r="32" customFormat="false" ht="15" hidden="false" customHeight="false" outlineLevel="0" collapsed="false">
      <c r="A32" s="14" t="s">
        <v>200</v>
      </c>
      <c r="B32" s="14" t="n">
        <v>1</v>
      </c>
      <c r="C32" s="14" t="s">
        <v>154</v>
      </c>
      <c r="D32" s="14" t="n">
        <v>8</v>
      </c>
      <c r="E32" s="14" t="n">
        <v>10.73</v>
      </c>
      <c r="F32" s="31" t="n">
        <v>0.0242</v>
      </c>
      <c r="G32" s="31" t="n">
        <v>0.382</v>
      </c>
      <c r="H32" s="25" t="n">
        <v>166166.02</v>
      </c>
      <c r="I32" s="25" t="n">
        <v>1536.11</v>
      </c>
      <c r="J32" s="32" t="n">
        <f aca="false">F32*G32*H32</f>
        <v>1536.105155288</v>
      </c>
      <c r="K32" s="32" t="n">
        <f aca="false">J32-I32</f>
        <v>-0.0048447120000219</v>
      </c>
      <c r="L32" s="28" t="n">
        <f aca="false">IF(B32=1,12,IF(B32=2,MIN(MAX(D32,1),60),6))</f>
        <v>12</v>
      </c>
      <c r="M32" s="11" t="n">
        <f aca="false">IF(B32=3,1,IFERROR(INDEX(PD_TermStructure!$C$2:$C$241,MATCH(C32&amp;"|"&amp;L32,PD_TermStructure!$D$2:$D$241,0)),0))</f>
        <v>0.109872</v>
      </c>
      <c r="N32" s="22" t="n">
        <f aca="false">(1+E32/100)^(-(L32/12)/2)</f>
        <v>0.95031448734261</v>
      </c>
      <c r="O32" s="32" t="n">
        <f aca="false">IF(H32&lt;=0,0,M32*Assumptions!$B$3*H32*N32)</f>
        <v>7195.3368291849</v>
      </c>
      <c r="P32" s="25" t="n">
        <v>7195.34</v>
      </c>
      <c r="Q32" s="32" t="n">
        <f aca="false">O32-P32</f>
        <v>-0.00317081510274875</v>
      </c>
    </row>
    <row r="33" customFormat="false" ht="15" hidden="false" customHeight="false" outlineLevel="0" collapsed="false">
      <c r="A33" s="14" t="s">
        <v>201</v>
      </c>
      <c r="B33" s="14" t="n">
        <v>1</v>
      </c>
      <c r="C33" s="14" t="s">
        <v>154</v>
      </c>
      <c r="D33" s="14" t="n">
        <v>53</v>
      </c>
      <c r="E33" s="14" t="n">
        <v>9.03</v>
      </c>
      <c r="F33" s="31" t="n">
        <v>0.0204</v>
      </c>
      <c r="G33" s="31" t="n">
        <v>0.624</v>
      </c>
      <c r="H33" s="25" t="n">
        <v>1683043.07</v>
      </c>
      <c r="I33" s="25" t="n">
        <v>21424.47</v>
      </c>
      <c r="J33" s="32" t="n">
        <f aca="false">F33*G33*H33</f>
        <v>21424.465063872</v>
      </c>
      <c r="K33" s="32" t="n">
        <f aca="false">J33-I33</f>
        <v>-0.00493612799982657</v>
      </c>
      <c r="L33" s="28" t="n">
        <f aca="false">IF(B33=1,12,IF(B33=2,MIN(MAX(D33,1),60),6))</f>
        <v>12</v>
      </c>
      <c r="M33" s="11" t="n">
        <f aca="false">IF(B33=3,1,IFERROR(INDEX(PD_TermStructure!$C$2:$C$241,MATCH(C33&amp;"|"&amp;L33,PD_TermStructure!$D$2:$D$241,0)),0))</f>
        <v>0.109872</v>
      </c>
      <c r="N33" s="22" t="n">
        <f aca="false">(1+E33/100)^(-(L33/12)/2)</f>
        <v>0.957694501466914</v>
      </c>
      <c r="O33" s="32" t="n">
        <f aca="false">IF(H33&lt;=0,0,M33*Assumptions!$B$3*H33*N33)</f>
        <v>73445.2621121298</v>
      </c>
      <c r="P33" s="25" t="n">
        <v>73445.26</v>
      </c>
      <c r="Q33" s="32" t="n">
        <f aca="false">O33-P33</f>
        <v>0.00211212980502751</v>
      </c>
    </row>
    <row r="34" customFormat="false" ht="15" hidden="false" customHeight="false" outlineLevel="0" collapsed="false">
      <c r="A34" s="14" t="s">
        <v>202</v>
      </c>
      <c r="B34" s="14" t="n">
        <v>1</v>
      </c>
      <c r="C34" s="14" t="s">
        <v>154</v>
      </c>
      <c r="D34" s="14" t="n">
        <v>49</v>
      </c>
      <c r="E34" s="14" t="n">
        <v>14.27</v>
      </c>
      <c r="F34" s="31" t="n">
        <v>0.0214</v>
      </c>
      <c r="G34" s="31" t="n">
        <v>0.633</v>
      </c>
      <c r="H34" s="25" t="n">
        <v>793857.01</v>
      </c>
      <c r="I34" s="25" t="n">
        <v>10753.75</v>
      </c>
      <c r="J34" s="32" t="n">
        <f aca="false">F34*G34*H34</f>
        <v>10753.745828862</v>
      </c>
      <c r="K34" s="32" t="n">
        <f aca="false">J34-I34</f>
        <v>-0.00417113799994695</v>
      </c>
      <c r="L34" s="28" t="n">
        <f aca="false">IF(B34=1,12,IF(B34=2,MIN(MAX(D34,1),60),6))</f>
        <v>12</v>
      </c>
      <c r="M34" s="11" t="n">
        <f aca="false">IF(B34=3,1,IFERROR(INDEX(PD_TermStructure!$C$2:$C$241,MATCH(C34&amp;"|"&amp;L34,PD_TermStructure!$D$2:$D$241,0)),0))</f>
        <v>0.109872</v>
      </c>
      <c r="N34" s="22" t="n">
        <f aca="false">(1+E34/100)^(-(L34/12)/2)</f>
        <v>0.935478663062522</v>
      </c>
      <c r="O34" s="32" t="n">
        <f aca="false">IF(H34&lt;=0,0,M34*Assumptions!$B$3*H34*N34)</f>
        <v>33839.0164526416</v>
      </c>
      <c r="P34" s="25" t="n">
        <v>33839.02</v>
      </c>
      <c r="Q34" s="32" t="n">
        <f aca="false">O34-P34</f>
        <v>-0.00354735839937348</v>
      </c>
    </row>
    <row r="35" customFormat="false" ht="15" hidden="false" customHeight="false" outlineLevel="0" collapsed="false">
      <c r="A35" s="14" t="s">
        <v>203</v>
      </c>
      <c r="B35" s="14" t="n">
        <v>1</v>
      </c>
      <c r="C35" s="14" t="s">
        <v>155</v>
      </c>
      <c r="D35" s="14" t="n">
        <v>10</v>
      </c>
      <c r="E35" s="14" t="n">
        <v>13.71</v>
      </c>
      <c r="F35" s="31" t="n">
        <v>0.0152</v>
      </c>
      <c r="G35" s="31" t="n">
        <v>0.5557</v>
      </c>
      <c r="H35" s="25" t="n">
        <v>440243.38</v>
      </c>
      <c r="I35" s="25" t="n">
        <v>3718.58</v>
      </c>
      <c r="J35" s="32" t="n">
        <f aca="false">F35*G35*H35</f>
        <v>3718.5773432432</v>
      </c>
      <c r="K35" s="32" t="n">
        <f aca="false">J35-I35</f>
        <v>-0.00265675679975175</v>
      </c>
      <c r="L35" s="28" t="n">
        <f aca="false">IF(B35=1,12,IF(B35=2,MIN(MAX(D35,1),60),6))</f>
        <v>12</v>
      </c>
      <c r="M35" s="11" t="n">
        <f aca="false">IF(B35=3,1,IFERROR(INDEX(PD_TermStructure!$C$2:$C$241,MATCH(C35&amp;"|"&amp;L35,PD_TermStructure!$D$2:$D$241,0)),0))</f>
        <v>0.164153</v>
      </c>
      <c r="N35" s="22" t="n">
        <f aca="false">(1+E35/100)^(-(L35/12)/2)</f>
        <v>0.937779360658054</v>
      </c>
      <c r="O35" s="32" t="n">
        <f aca="false">IF(H35&lt;=0,0,M35*Assumptions!$B$3*H35*N35)</f>
        <v>28105.8587708954</v>
      </c>
      <c r="P35" s="25" t="n">
        <v>28105.86</v>
      </c>
      <c r="Q35" s="32" t="n">
        <f aca="false">O35-P35</f>
        <v>-0.00122910464779125</v>
      </c>
    </row>
    <row r="36" customFormat="false" ht="15" hidden="false" customHeight="false" outlineLevel="0" collapsed="false">
      <c r="A36" s="14" t="s">
        <v>204</v>
      </c>
      <c r="B36" s="14" t="n">
        <v>1</v>
      </c>
      <c r="C36" s="14" t="s">
        <v>154</v>
      </c>
      <c r="D36" s="14" t="n">
        <v>45</v>
      </c>
      <c r="E36" s="14" t="n">
        <v>9.2</v>
      </c>
      <c r="F36" s="31" t="n">
        <v>0.0219</v>
      </c>
      <c r="G36" s="31" t="n">
        <v>0.3577</v>
      </c>
      <c r="H36" s="25" t="n">
        <v>753197.89</v>
      </c>
      <c r="I36" s="25" t="n">
        <v>5900.27</v>
      </c>
      <c r="J36" s="32" t="n">
        <f aca="false">F36*G36*H36</f>
        <v>5900.2735870407</v>
      </c>
      <c r="K36" s="32" t="n">
        <f aca="false">J36-I36</f>
        <v>0.00358704069913074</v>
      </c>
      <c r="L36" s="28" t="n">
        <f aca="false">IF(B36=1,12,IF(B36=2,MIN(MAX(D36,1),60),6))</f>
        <v>12</v>
      </c>
      <c r="M36" s="11" t="n">
        <f aca="false">IF(B36=3,1,IFERROR(INDEX(PD_TermStructure!$C$2:$C$241,MATCH(C36&amp;"|"&amp;L36,PD_TermStructure!$D$2:$D$241,0)),0))</f>
        <v>0.109872</v>
      </c>
      <c r="N36" s="22" t="n">
        <f aca="false">(1+E36/100)^(-(L36/12)/2)</f>
        <v>0.956948752938691</v>
      </c>
      <c r="O36" s="32" t="n">
        <f aca="false">IF(H36&lt;=0,0,M36*Assumptions!$B$3*H36*N36)</f>
        <v>32842.7365578244</v>
      </c>
      <c r="P36" s="25" t="n">
        <v>32842.74</v>
      </c>
      <c r="Q36" s="32" t="n">
        <f aca="false">O36-P36</f>
        <v>-0.00344217560632387</v>
      </c>
    </row>
    <row r="37" customFormat="false" ht="15" hidden="false" customHeight="false" outlineLevel="0" collapsed="false">
      <c r="A37" s="14" t="s">
        <v>205</v>
      </c>
      <c r="B37" s="14" t="n">
        <v>1</v>
      </c>
      <c r="C37" s="14" t="s">
        <v>154</v>
      </c>
      <c r="D37" s="14" t="n">
        <v>67</v>
      </c>
      <c r="E37" s="14" t="n">
        <v>8.26</v>
      </c>
      <c r="F37" s="31" t="n">
        <v>0.0173</v>
      </c>
      <c r="G37" s="31" t="n">
        <v>0.5399</v>
      </c>
      <c r="H37" s="25" t="n">
        <v>1167789.76</v>
      </c>
      <c r="I37" s="25" t="n">
        <v>10907.47</v>
      </c>
      <c r="J37" s="32" t="n">
        <f aca="false">F37*G37*H37</f>
        <v>10907.4716616352</v>
      </c>
      <c r="K37" s="32" t="n">
        <f aca="false">J37-I37</f>
        <v>0.00166163520225382</v>
      </c>
      <c r="L37" s="28" t="n">
        <f aca="false">IF(B37=1,12,IF(B37=2,MIN(MAX(D37,1),60),6))</f>
        <v>12</v>
      </c>
      <c r="M37" s="11" t="n">
        <f aca="false">IF(B37=3,1,IFERROR(INDEX(PD_TermStructure!$C$2:$C$241,MATCH(C37&amp;"|"&amp;L37,PD_TermStructure!$D$2:$D$241,0)),0))</f>
        <v>0.109872</v>
      </c>
      <c r="N37" s="22" t="n">
        <f aca="false">(1+E37/100)^(-(L37/12)/2)</f>
        <v>0.961094271344509</v>
      </c>
      <c r="O37" s="32" t="n">
        <f aca="false">IF(H37&lt;=0,0,M37*Assumptions!$B$3*H37*N37)</f>
        <v>51141.3528768538</v>
      </c>
      <c r="P37" s="25" t="n">
        <v>51141.35</v>
      </c>
      <c r="Q37" s="32" t="n">
        <f aca="false">O37-P37</f>
        <v>0.00287685381044867</v>
      </c>
    </row>
    <row r="38" customFormat="false" ht="15" hidden="false" customHeight="false" outlineLevel="0" collapsed="false">
      <c r="A38" s="14" t="s">
        <v>206</v>
      </c>
      <c r="B38" s="14" t="n">
        <v>1</v>
      </c>
      <c r="C38" s="14" t="s">
        <v>154</v>
      </c>
      <c r="D38" s="14" t="n">
        <v>56</v>
      </c>
      <c r="E38" s="14" t="n">
        <v>10.41</v>
      </c>
      <c r="F38" s="31" t="n">
        <v>0.022</v>
      </c>
      <c r="G38" s="31" t="n">
        <v>0.4732</v>
      </c>
      <c r="H38" s="25" t="n">
        <v>509117.76</v>
      </c>
      <c r="I38" s="25" t="n">
        <v>5300.12</v>
      </c>
      <c r="J38" s="32" t="n">
        <f aca="false">F38*G38*H38</f>
        <v>5300.119528704</v>
      </c>
      <c r="K38" s="32" t="n">
        <f aca="false">J38-I38</f>
        <v>-0.000471295999886934</v>
      </c>
      <c r="L38" s="28" t="n">
        <f aca="false">IF(B38=1,12,IF(B38=2,MIN(MAX(D38,1),60),6))</f>
        <v>12</v>
      </c>
      <c r="M38" s="11" t="n">
        <f aca="false">IF(B38=3,1,IFERROR(INDEX(PD_TermStructure!$C$2:$C$241,MATCH(C38&amp;"|"&amp;L38,PD_TermStructure!$D$2:$D$241,0)),0))</f>
        <v>0.109872</v>
      </c>
      <c r="N38" s="22" t="n">
        <f aca="false">(1+E38/100)^(-(L38/12)/2)</f>
        <v>0.951690633578729</v>
      </c>
      <c r="O38" s="32" t="n">
        <f aca="false">IF(H38&lt;=0,0,M38*Assumptions!$B$3*H38*N38)</f>
        <v>22077.7902701094</v>
      </c>
      <c r="P38" s="25" t="n">
        <v>22077.79</v>
      </c>
      <c r="Q38" s="32" t="n">
        <f aca="false">O38-P38</f>
        <v>0.000270109358098125</v>
      </c>
    </row>
    <row r="39" customFormat="false" ht="15" hidden="false" customHeight="false" outlineLevel="0" collapsed="false">
      <c r="A39" s="14" t="s">
        <v>207</v>
      </c>
      <c r="B39" s="14" t="n">
        <v>1</v>
      </c>
      <c r="C39" s="14" t="s">
        <v>154</v>
      </c>
      <c r="D39" s="14" t="n">
        <v>14</v>
      </c>
      <c r="E39" s="14" t="n">
        <v>9.95</v>
      </c>
      <c r="F39" s="31" t="n">
        <v>0.0182</v>
      </c>
      <c r="G39" s="31" t="n">
        <v>0.4044</v>
      </c>
      <c r="H39" s="25" t="n">
        <v>396974.89</v>
      </c>
      <c r="I39" s="25" t="n">
        <v>2921.77</v>
      </c>
      <c r="J39" s="32" t="n">
        <f aca="false">F39*G39*H39</f>
        <v>2921.7669483912</v>
      </c>
      <c r="K39" s="32" t="n">
        <f aca="false">J39-I39</f>
        <v>-0.00305160879997857</v>
      </c>
      <c r="L39" s="28" t="n">
        <f aca="false">IF(B39=1,12,IF(B39=2,MIN(MAX(D39,1),60),6))</f>
        <v>12</v>
      </c>
      <c r="M39" s="11" t="n">
        <f aca="false">IF(B39=3,1,IFERROR(INDEX(PD_TermStructure!$C$2:$C$241,MATCH(C39&amp;"|"&amp;L39,PD_TermStructure!$D$2:$D$241,0)),0))</f>
        <v>0.109872</v>
      </c>
      <c r="N39" s="22" t="n">
        <f aca="false">(1+E39/100)^(-(L39/12)/2)</f>
        <v>0.953679359190247</v>
      </c>
      <c r="O39" s="32" t="n">
        <f aca="false">IF(H39&lt;=0,0,M39*Assumptions!$B$3*H39*N39)</f>
        <v>17250.7102786708</v>
      </c>
      <c r="P39" s="25" t="n">
        <v>17250.71</v>
      </c>
      <c r="Q39" s="32" t="n">
        <f aca="false">O39-P39</f>
        <v>0.000278670755506028</v>
      </c>
    </row>
    <row r="40" customFormat="false" ht="15" hidden="false" customHeight="false" outlineLevel="0" collapsed="false">
      <c r="A40" s="14" t="s">
        <v>208</v>
      </c>
      <c r="B40" s="14" t="n">
        <v>1</v>
      </c>
      <c r="C40" s="14" t="s">
        <v>154</v>
      </c>
      <c r="D40" s="14" t="n">
        <v>50</v>
      </c>
      <c r="E40" s="14" t="n">
        <v>12.94</v>
      </c>
      <c r="F40" s="31" t="n">
        <v>0.0192</v>
      </c>
      <c r="G40" s="31" t="n">
        <v>0.435</v>
      </c>
      <c r="H40" s="25" t="n">
        <v>737267.1</v>
      </c>
      <c r="I40" s="25" t="n">
        <v>6157.65</v>
      </c>
      <c r="J40" s="32" t="n">
        <f aca="false">F40*G40*H40</f>
        <v>6157.6548192</v>
      </c>
      <c r="K40" s="32" t="n">
        <f aca="false">J40-I40</f>
        <v>0.00481920000038372</v>
      </c>
      <c r="L40" s="28" t="n">
        <f aca="false">IF(B40=1,12,IF(B40=2,MIN(MAX(D40,1),60),6))</f>
        <v>12</v>
      </c>
      <c r="M40" s="11" t="n">
        <f aca="false">IF(B40=3,1,IFERROR(INDEX(PD_TermStructure!$C$2:$C$241,MATCH(C40&amp;"|"&amp;L40,PD_TermStructure!$D$2:$D$241,0)),0))</f>
        <v>0.109872</v>
      </c>
      <c r="N40" s="22" t="n">
        <f aca="false">(1+E40/100)^(-(L40/12)/2)</f>
        <v>0.940970716788264</v>
      </c>
      <c r="O40" s="32" t="n">
        <f aca="false">IF(H40&lt;=0,0,M40*Assumptions!$B$3*H40*N40)</f>
        <v>31611.3121826199</v>
      </c>
      <c r="P40" s="25" t="n">
        <v>31611.31</v>
      </c>
      <c r="Q40" s="32" t="n">
        <f aca="false">O40-P40</f>
        <v>0.00218261986083235</v>
      </c>
    </row>
    <row r="41" customFormat="false" ht="15" hidden="false" customHeight="false" outlineLevel="0" collapsed="false">
      <c r="A41" s="14" t="s">
        <v>209</v>
      </c>
      <c r="B41" s="14" t="n">
        <v>2</v>
      </c>
      <c r="C41" s="14" t="s">
        <v>157</v>
      </c>
      <c r="D41" s="14" t="n">
        <v>47</v>
      </c>
      <c r="E41" s="14" t="n">
        <v>8.73</v>
      </c>
      <c r="F41" s="31" t="n">
        <v>0.1439</v>
      </c>
      <c r="G41" s="31" t="n">
        <v>0.6259</v>
      </c>
      <c r="H41" s="25" t="n">
        <v>637646.71</v>
      </c>
      <c r="I41" s="25" t="n">
        <v>57430.93</v>
      </c>
      <c r="J41" s="32" t="n">
        <f aca="false">F41*G41*H41</f>
        <v>57430.9326060371</v>
      </c>
      <c r="K41" s="32" t="n">
        <f aca="false">J41-I41</f>
        <v>0.00260603709466523</v>
      </c>
      <c r="L41" s="28" t="n">
        <f aca="false">IF(B41=1,12,IF(B41=2,MIN(MAX(D41,1),60),6))</f>
        <v>47</v>
      </c>
      <c r="M41" s="11" t="n">
        <f aca="false">IF(B41=3,1,IFERROR(INDEX(PD_TermStructure!$C$2:$C$241,MATCH(C41&amp;"|"&amp;L41,PD_TermStructure!$D$2:$D$241,0)),0))</f>
        <v>1</v>
      </c>
      <c r="N41" s="22" t="n">
        <f aca="false">(1+E41/100)^(-(L41/12)/2)</f>
        <v>0.848820347619593</v>
      </c>
      <c r="O41" s="32" t="n">
        <f aca="false">IF(H41&lt;=0,0,M41*Assumptions!$B$3*H41*N41)</f>
        <v>224465.932118262</v>
      </c>
      <c r="P41" s="25" t="n">
        <v>224465.93</v>
      </c>
      <c r="Q41" s="32" t="n">
        <f aca="false">O41-P41</f>
        <v>0.00211826214217581</v>
      </c>
    </row>
    <row r="42" customFormat="false" ht="15" hidden="false" customHeight="false" outlineLevel="0" collapsed="false">
      <c r="A42" s="14" t="s">
        <v>210</v>
      </c>
      <c r="B42" s="14" t="n">
        <v>1</v>
      </c>
      <c r="C42" s="14" t="s">
        <v>154</v>
      </c>
      <c r="D42" s="14" t="n">
        <v>59</v>
      </c>
      <c r="E42" s="14" t="n">
        <v>11.07</v>
      </c>
      <c r="F42" s="31" t="n">
        <v>0.0222</v>
      </c>
      <c r="G42" s="31" t="n">
        <v>0.6146</v>
      </c>
      <c r="H42" s="25" t="n">
        <v>436244.26</v>
      </c>
      <c r="I42" s="25" t="n">
        <v>5952.17</v>
      </c>
      <c r="J42" s="32" t="n">
        <f aca="false">F42*G42*H42</f>
        <v>5952.1690327512</v>
      </c>
      <c r="K42" s="32" t="n">
        <f aca="false">J42-I42</f>
        <v>-0.000967248799497611</v>
      </c>
      <c r="L42" s="28" t="n">
        <f aca="false">IF(B42=1,12,IF(B42=2,MIN(MAX(D42,1),60),6))</f>
        <v>12</v>
      </c>
      <c r="M42" s="11" t="n">
        <f aca="false">IF(B42=3,1,IFERROR(INDEX(PD_TermStructure!$C$2:$C$241,MATCH(C42&amp;"|"&amp;L42,PD_TermStructure!$D$2:$D$241,0)),0))</f>
        <v>0.109872</v>
      </c>
      <c r="N42" s="22" t="n">
        <f aca="false">(1+E42/100)^(-(L42/12)/2)</f>
        <v>0.948858853178704</v>
      </c>
      <c r="O42" s="32" t="n">
        <f aca="false">IF(H42&lt;=0,0,M42*Assumptions!$B$3*H42*N42)</f>
        <v>18861.3555061725</v>
      </c>
      <c r="P42" s="25" t="n">
        <v>18861.36</v>
      </c>
      <c r="Q42" s="32" t="n">
        <f aca="false">O42-P42</f>
        <v>-0.00449382751685334</v>
      </c>
    </row>
    <row r="43" customFormat="false" ht="15" hidden="false" customHeight="false" outlineLevel="0" collapsed="false">
      <c r="A43" s="14" t="s">
        <v>211</v>
      </c>
      <c r="B43" s="14" t="n">
        <v>1</v>
      </c>
      <c r="C43" s="14" t="s">
        <v>154</v>
      </c>
      <c r="D43" s="14" t="n">
        <v>56</v>
      </c>
      <c r="E43" s="14" t="n">
        <v>7.76</v>
      </c>
      <c r="F43" s="31" t="n">
        <v>0.0152</v>
      </c>
      <c r="G43" s="31" t="n">
        <v>0.6197</v>
      </c>
      <c r="H43" s="25" t="n">
        <v>1162236.07</v>
      </c>
      <c r="I43" s="25" t="n">
        <v>10947.61</v>
      </c>
      <c r="J43" s="32" t="n">
        <f aca="false">F43*G43*H43</f>
        <v>10947.6129272008</v>
      </c>
      <c r="K43" s="32" t="n">
        <f aca="false">J43-I43</f>
        <v>0.00292720080142317</v>
      </c>
      <c r="L43" s="28" t="n">
        <f aca="false">IF(B43=1,12,IF(B43=2,MIN(MAX(D43,1),60),6))</f>
        <v>12</v>
      </c>
      <c r="M43" s="11" t="n">
        <f aca="false">IF(B43=3,1,IFERROR(INDEX(PD_TermStructure!$C$2:$C$241,MATCH(C43&amp;"|"&amp;L43,PD_TermStructure!$D$2:$D$241,0)),0))</f>
        <v>0.109872</v>
      </c>
      <c r="N43" s="22" t="n">
        <f aca="false">(1+E43/100)^(-(L43/12)/2)</f>
        <v>0.963321401066146</v>
      </c>
      <c r="O43" s="32" t="n">
        <f aca="false">IF(H43&lt;=0,0,M43*Assumptions!$B$3*H43*N43)</f>
        <v>51016.0840463906</v>
      </c>
      <c r="P43" s="25" t="n">
        <v>51016.08</v>
      </c>
      <c r="Q43" s="32" t="n">
        <f aca="false">O43-P43</f>
        <v>0.00404639054613654</v>
      </c>
    </row>
    <row r="44" customFormat="false" ht="15" hidden="false" customHeight="false" outlineLevel="0" collapsed="false">
      <c r="A44" s="14" t="s">
        <v>212</v>
      </c>
      <c r="B44" s="14" t="n">
        <v>1</v>
      </c>
      <c r="C44" s="14" t="s">
        <v>154</v>
      </c>
      <c r="D44" s="14" t="n">
        <v>74</v>
      </c>
      <c r="E44" s="14" t="n">
        <v>7.87</v>
      </c>
      <c r="F44" s="31" t="n">
        <v>0.0211</v>
      </c>
      <c r="G44" s="31" t="n">
        <v>0.6314</v>
      </c>
      <c r="H44" s="25" t="n">
        <v>1430778.23</v>
      </c>
      <c r="I44" s="25" t="n">
        <v>19061.6</v>
      </c>
      <c r="J44" s="32" t="n">
        <f aca="false">F44*G44*H44</f>
        <v>19061.6002003042</v>
      </c>
      <c r="K44" s="32" t="n">
        <f aca="false">J44-I44</f>
        <v>0.000200304199097445</v>
      </c>
      <c r="L44" s="28" t="n">
        <f aca="false">IF(B44=1,12,IF(B44=2,MIN(MAX(D44,1),60),6))</f>
        <v>12</v>
      </c>
      <c r="M44" s="11" t="n">
        <f aca="false">IF(B44=3,1,IFERROR(INDEX(PD_TermStructure!$C$2:$C$241,MATCH(C44&amp;"|"&amp;L44,PD_TermStructure!$D$2:$D$241,0)),0))</f>
        <v>0.109872</v>
      </c>
      <c r="N44" s="22" t="n">
        <f aca="false">(1+E44/100)^(-(L44/12)/2)</f>
        <v>0.962830104216529</v>
      </c>
      <c r="O44" s="32" t="n">
        <f aca="false">IF(H44&lt;=0,0,M44*Assumptions!$B$3*H44*N44)</f>
        <v>62771.6501113141</v>
      </c>
      <c r="P44" s="25" t="n">
        <v>62771.65</v>
      </c>
      <c r="Q44" s="32" t="n">
        <f aca="false">O44-P44</f>
        <v>0.000111314126115758</v>
      </c>
    </row>
    <row r="45" customFormat="false" ht="15" hidden="false" customHeight="false" outlineLevel="0" collapsed="false">
      <c r="A45" s="14" t="s">
        <v>213</v>
      </c>
      <c r="B45" s="14" t="n">
        <v>1</v>
      </c>
      <c r="C45" s="14" t="s">
        <v>154</v>
      </c>
      <c r="D45" s="14" t="n">
        <v>31</v>
      </c>
      <c r="E45" s="14" t="n">
        <v>14.5</v>
      </c>
      <c r="F45" s="31" t="n">
        <v>0.0221</v>
      </c>
      <c r="G45" s="31" t="n">
        <v>0.4213</v>
      </c>
      <c r="H45" s="25" t="n">
        <v>615903</v>
      </c>
      <c r="I45" s="25" t="n">
        <v>5734.51</v>
      </c>
      <c r="J45" s="32" t="n">
        <f aca="false">F45*G45*H45</f>
        <v>5734.50653919</v>
      </c>
      <c r="K45" s="32" t="n">
        <f aca="false">J45-I45</f>
        <v>-0.00346080999952392</v>
      </c>
      <c r="L45" s="28" t="n">
        <f aca="false">IF(B45=1,12,IF(B45=2,MIN(MAX(D45,1),60),6))</f>
        <v>12</v>
      </c>
      <c r="M45" s="11" t="n">
        <f aca="false">IF(B45=3,1,IFERROR(INDEX(PD_TermStructure!$C$2:$C$241,MATCH(C45&amp;"|"&amp;L45,PD_TermStructure!$D$2:$D$241,0)),0))</f>
        <v>0.109872</v>
      </c>
      <c r="N45" s="22" t="n">
        <f aca="false">(1+E45/100)^(-(L45/12)/2)</f>
        <v>0.934538627031996</v>
      </c>
      <c r="O45" s="32" t="n">
        <f aca="false">IF(H45&lt;=0,0,M45*Assumptions!$B$3*H45*N45)</f>
        <v>26227.152248465</v>
      </c>
      <c r="P45" s="25" t="n">
        <v>26227.15</v>
      </c>
      <c r="Q45" s="32" t="n">
        <f aca="false">O45-P45</f>
        <v>0.00224846497076214</v>
      </c>
    </row>
    <row r="46" customFormat="false" ht="15" hidden="false" customHeight="false" outlineLevel="0" collapsed="false">
      <c r="A46" s="14" t="s">
        <v>214</v>
      </c>
      <c r="B46" s="14" t="n">
        <v>2</v>
      </c>
      <c r="C46" s="14" t="s">
        <v>156</v>
      </c>
      <c r="D46" s="14" t="n">
        <v>46</v>
      </c>
      <c r="E46" s="14" t="n">
        <v>12.95</v>
      </c>
      <c r="F46" s="31" t="n">
        <v>0.1438</v>
      </c>
      <c r="G46" s="31" t="n">
        <v>0.3775</v>
      </c>
      <c r="H46" s="25" t="n">
        <v>1061714.32</v>
      </c>
      <c r="I46" s="25" t="n">
        <v>57634.63</v>
      </c>
      <c r="J46" s="32" t="n">
        <f aca="false">F46*G46*H46</f>
        <v>57634.63100404</v>
      </c>
      <c r="K46" s="32" t="n">
        <f aca="false">J46-I46</f>
        <v>0.00100404001568677</v>
      </c>
      <c r="L46" s="28" t="n">
        <f aca="false">IF(B46=1,12,IF(B46=2,MIN(MAX(D46,1),60),6))</f>
        <v>46</v>
      </c>
      <c r="M46" s="11" t="n">
        <f aca="false">IF(B46=3,1,IFERROR(INDEX(PD_TermStructure!$C$2:$C$241,MATCH(C46&amp;"|"&amp;L46,PD_TermStructure!$D$2:$D$241,0)),0))</f>
        <v>1</v>
      </c>
      <c r="N46" s="22" t="n">
        <f aca="false">(1+E46/100)^(-(L46/12)/2)</f>
        <v>0.791835039404957</v>
      </c>
      <c r="O46" s="32" t="n">
        <f aca="false">IF(H46&lt;=0,0,M46*Assumptions!$B$3*H46*N46)</f>
        <v>348655.822197199</v>
      </c>
      <c r="P46" s="25" t="n">
        <v>348655.82</v>
      </c>
      <c r="Q46" s="32" t="n">
        <f aca="false">O46-P46</f>
        <v>0.0021971992100589</v>
      </c>
    </row>
    <row r="47" customFormat="false" ht="15" hidden="false" customHeight="false" outlineLevel="0" collapsed="false">
      <c r="A47" s="14" t="s">
        <v>215</v>
      </c>
      <c r="B47" s="14" t="n">
        <v>1</v>
      </c>
      <c r="C47" s="14" t="s">
        <v>154</v>
      </c>
      <c r="D47" s="14" t="n">
        <v>24</v>
      </c>
      <c r="E47" s="14" t="n">
        <v>13.37</v>
      </c>
      <c r="F47" s="31" t="n">
        <v>0.0153</v>
      </c>
      <c r="G47" s="31" t="n">
        <v>0.4364</v>
      </c>
      <c r="H47" s="25" t="n">
        <v>275403.79</v>
      </c>
      <c r="I47" s="25" t="n">
        <v>1838.85</v>
      </c>
      <c r="J47" s="32" t="n">
        <f aca="false">F47*G47*H47</f>
        <v>1838.8490735268</v>
      </c>
      <c r="K47" s="32" t="n">
        <f aca="false">J47-I47</f>
        <v>-0.000926473200024702</v>
      </c>
      <c r="L47" s="28" t="n">
        <f aca="false">IF(B47=1,12,IF(B47=2,MIN(MAX(D47,1),60),6))</f>
        <v>12</v>
      </c>
      <c r="M47" s="11" t="n">
        <f aca="false">IF(B47=3,1,IFERROR(INDEX(PD_TermStructure!$C$2:$C$241,MATCH(C47&amp;"|"&amp;L47,PD_TermStructure!$D$2:$D$241,0)),0))</f>
        <v>0.109872</v>
      </c>
      <c r="N47" s="22" t="n">
        <f aca="false">(1+E47/100)^(-(L47/12)/2)</f>
        <v>0.939184522005971</v>
      </c>
      <c r="O47" s="32" t="n">
        <f aca="false">IF(H47&lt;=0,0,M47*Assumptions!$B$3*H47*N47)</f>
        <v>11785.8904609417</v>
      </c>
      <c r="P47" s="25" t="n">
        <v>11785.89</v>
      </c>
      <c r="Q47" s="32" t="n">
        <f aca="false">O47-P47</f>
        <v>0.000460941746496246</v>
      </c>
    </row>
    <row r="48" customFormat="false" ht="15" hidden="false" customHeight="false" outlineLevel="0" collapsed="false">
      <c r="A48" s="14" t="s">
        <v>216</v>
      </c>
      <c r="B48" s="14" t="n">
        <v>3</v>
      </c>
      <c r="C48" s="14" t="s">
        <v>189</v>
      </c>
      <c r="D48" s="14" t="n">
        <v>60</v>
      </c>
      <c r="E48" s="14" t="n">
        <v>7.51</v>
      </c>
      <c r="F48" s="31" t="n">
        <v>0.7771</v>
      </c>
      <c r="G48" s="31" t="n">
        <v>0.3703</v>
      </c>
      <c r="H48" s="25" t="n">
        <v>504788.85</v>
      </c>
      <c r="I48" s="25" t="n">
        <v>145258.11</v>
      </c>
      <c r="J48" s="32" t="n">
        <f aca="false">F48*G48*H48</f>
        <v>145258.105098551</v>
      </c>
      <c r="K48" s="32" t="n">
        <f aca="false">J48-I48</f>
        <v>-0.00490144948707894</v>
      </c>
      <c r="L48" s="28" t="n">
        <f aca="false">IF(B48=1,12,IF(B48=2,MIN(MAX(D48,1),60),6))</f>
        <v>6</v>
      </c>
      <c r="M48" s="11" t="n">
        <f aca="false">IF(B48=3,1,IFERROR(INDEX(PD_TermStructure!$C$2:$C$241,MATCH(C48&amp;"|"&amp;L48,PD_TermStructure!$D$2:$D$241,0)),0))</f>
        <v>1</v>
      </c>
      <c r="N48" s="22" t="n">
        <f aca="false">(1+E48/100)^(-(L48/12)/2)</f>
        <v>0.982059462391623</v>
      </c>
      <c r="O48" s="32" t="n">
        <f aca="false">IF(H48&lt;=0,0,M48*Assumptions!$B$3*H48*N48)</f>
        <v>205590.039089384</v>
      </c>
      <c r="P48" s="25" t="n">
        <v>205590.04</v>
      </c>
      <c r="Q48" s="32" t="n">
        <f aca="false">O48-P48</f>
        <v>-0.0009106156649068</v>
      </c>
    </row>
    <row r="49" customFormat="false" ht="15" hidden="false" customHeight="false" outlineLevel="0" collapsed="false">
      <c r="A49" s="14" t="s">
        <v>217</v>
      </c>
      <c r="B49" s="14" t="n">
        <v>1</v>
      </c>
      <c r="C49" s="14" t="s">
        <v>154</v>
      </c>
      <c r="D49" s="14" t="n">
        <v>50</v>
      </c>
      <c r="E49" s="14" t="n">
        <v>11.92</v>
      </c>
      <c r="F49" s="31" t="n">
        <v>0.0173</v>
      </c>
      <c r="G49" s="31" t="n">
        <v>0.5898</v>
      </c>
      <c r="H49" s="25" t="n">
        <v>1073265.66</v>
      </c>
      <c r="I49" s="25" t="n">
        <v>10951.11</v>
      </c>
      <c r="J49" s="32" t="n">
        <f aca="false">F49*G49*H49</f>
        <v>10951.1090924364</v>
      </c>
      <c r="K49" s="32" t="n">
        <f aca="false">J49-I49</f>
        <v>-0.000907563602595474</v>
      </c>
      <c r="L49" s="28" t="n">
        <f aca="false">IF(B49=1,12,IF(B49=2,MIN(MAX(D49,1),60),6))</f>
        <v>12</v>
      </c>
      <c r="M49" s="11" t="n">
        <f aca="false">IF(B49=3,1,IFERROR(INDEX(PD_TermStructure!$C$2:$C$241,MATCH(C49&amp;"|"&amp;L49,PD_TermStructure!$D$2:$D$241,0)),0))</f>
        <v>0.109872</v>
      </c>
      <c r="N49" s="22" t="n">
        <f aca="false">(1+E49/100)^(-(L49/12)/2)</f>
        <v>0.945248831696797</v>
      </c>
      <c r="O49" s="32" t="n">
        <f aca="false">IF(H49&lt;=0,0,M49*Assumptions!$B$3*H49*N49)</f>
        <v>46226.9185219953</v>
      </c>
      <c r="P49" s="25" t="n">
        <v>46226.92</v>
      </c>
      <c r="Q49" s="32" t="n">
        <f aca="false">O49-P49</f>
        <v>-0.00147800468403148</v>
      </c>
    </row>
    <row r="50" customFormat="false" ht="15" hidden="false" customHeight="false" outlineLevel="0" collapsed="false">
      <c r="A50" s="14" t="s">
        <v>218</v>
      </c>
      <c r="B50" s="14" t="n">
        <v>1</v>
      </c>
      <c r="C50" s="14" t="s">
        <v>154</v>
      </c>
      <c r="D50" s="14" t="n">
        <v>36</v>
      </c>
      <c r="E50" s="14" t="n">
        <v>11.32</v>
      </c>
      <c r="F50" s="31" t="n">
        <v>0.0221</v>
      </c>
      <c r="G50" s="31" t="n">
        <v>0.4719</v>
      </c>
      <c r="H50" s="25" t="n">
        <v>599112.73</v>
      </c>
      <c r="I50" s="25" t="n">
        <v>6248.14</v>
      </c>
      <c r="J50" s="32" t="n">
        <f aca="false">F50*G50*H50</f>
        <v>6248.1406700427</v>
      </c>
      <c r="K50" s="32" t="n">
        <f aca="false">J50-I50</f>
        <v>0.000670042700221529</v>
      </c>
      <c r="L50" s="28" t="n">
        <f aca="false">IF(B50=1,12,IF(B50=2,MIN(MAX(D50,1),60),6))</f>
        <v>12</v>
      </c>
      <c r="M50" s="11" t="n">
        <f aca="false">IF(B50=3,1,IFERROR(INDEX(PD_TermStructure!$C$2:$C$241,MATCH(C50&amp;"|"&amp;L50,PD_TermStructure!$D$2:$D$241,0)),0))</f>
        <v>0.109872</v>
      </c>
      <c r="N50" s="22" t="n">
        <f aca="false">(1+E50/100)^(-(L50/12)/2)</f>
        <v>0.947792791168522</v>
      </c>
      <c r="O50" s="32" t="n">
        <f aca="false">IF(H50&lt;=0,0,M50*Assumptions!$B$3*H50*N50)</f>
        <v>25873.9961956851</v>
      </c>
      <c r="P50" s="25" t="n">
        <v>25874</v>
      </c>
      <c r="Q50" s="32" t="n">
        <f aca="false">O50-P50</f>
        <v>-0.00380431488156319</v>
      </c>
    </row>
    <row r="51" customFormat="false" ht="15" hidden="false" customHeight="false" outlineLevel="0" collapsed="false">
      <c r="A51" s="14" t="s">
        <v>219</v>
      </c>
      <c r="B51" s="14" t="n">
        <v>3</v>
      </c>
      <c r="C51" s="14" t="s">
        <v>182</v>
      </c>
      <c r="D51" s="14" t="n">
        <v>31</v>
      </c>
      <c r="E51" s="14" t="n">
        <v>14.14</v>
      </c>
      <c r="F51" s="31" t="n">
        <v>0.9489</v>
      </c>
      <c r="G51" s="31" t="n">
        <v>0.6496</v>
      </c>
      <c r="H51" s="25" t="n">
        <v>199966.71</v>
      </c>
      <c r="I51" s="25" t="n">
        <v>123260.57</v>
      </c>
      <c r="J51" s="32" t="n">
        <f aca="false">F51*G51*H51</f>
        <v>123260.567862902</v>
      </c>
      <c r="K51" s="32" t="n">
        <f aca="false">J51-I51</f>
        <v>-0.00213709761737846</v>
      </c>
      <c r="L51" s="28" t="n">
        <f aca="false">IF(B51=1,12,IF(B51=2,MIN(MAX(D51,1),60),6))</f>
        <v>6</v>
      </c>
      <c r="M51" s="11" t="n">
        <f aca="false">IF(B51=3,1,IFERROR(INDEX(PD_TermStructure!$C$2:$C$241,MATCH(C51&amp;"|"&amp;L51,PD_TermStructure!$D$2:$D$241,0)),0))</f>
        <v>1</v>
      </c>
      <c r="N51" s="22" t="n">
        <f aca="false">(1+E51/100)^(-(L51/12)/2)</f>
        <v>0.967476740900479</v>
      </c>
      <c r="O51" s="32" t="n">
        <f aca="false">IF(H51&lt;=0,0,M51*Assumptions!$B$3*H51*N51)</f>
        <v>80232.9508852949</v>
      </c>
      <c r="P51" s="25" t="n">
        <v>80232.95</v>
      </c>
      <c r="Q51" s="32" t="n">
        <f aca="false">O51-P51</f>
        <v>0.000885294866748154</v>
      </c>
    </row>
    <row r="52" customFormat="false" ht="15" hidden="false" customHeight="false" outlineLevel="0" collapsed="false">
      <c r="A52" s="14" t="s">
        <v>220</v>
      </c>
      <c r="B52" s="14" t="n">
        <v>1</v>
      </c>
      <c r="C52" s="14" t="s">
        <v>154</v>
      </c>
      <c r="D52" s="14" t="n">
        <v>24</v>
      </c>
      <c r="E52" s="14" t="n">
        <v>13.06</v>
      </c>
      <c r="F52" s="31" t="n">
        <v>0.0203</v>
      </c>
      <c r="G52" s="31" t="n">
        <v>0.5807</v>
      </c>
      <c r="H52" s="25" t="n">
        <v>1463665.87</v>
      </c>
      <c r="I52" s="25" t="n">
        <v>17254</v>
      </c>
      <c r="J52" s="32" t="n">
        <f aca="false">F52*G52*H52</f>
        <v>17254.0006453927</v>
      </c>
      <c r="K52" s="32" t="n">
        <f aca="false">J52-I52</f>
        <v>0.000645392698061187</v>
      </c>
      <c r="L52" s="28" t="n">
        <f aca="false">IF(B52=1,12,IF(B52=2,MIN(MAX(D52,1),60),6))</f>
        <v>12</v>
      </c>
      <c r="M52" s="11" t="n">
        <f aca="false">IF(B52=3,1,IFERROR(INDEX(PD_TermStructure!$C$2:$C$241,MATCH(C52&amp;"|"&amp;L52,PD_TermStructure!$D$2:$D$241,0)),0))</f>
        <v>0.109872</v>
      </c>
      <c r="N52" s="22" t="n">
        <f aca="false">(1+E52/100)^(-(L52/12)/2)</f>
        <v>0.940471218894027</v>
      </c>
      <c r="O52" s="32" t="n">
        <f aca="false">IF(H52&lt;=0,0,M52*Assumptions!$B$3*H52*N52)</f>
        <v>62723.3169296086</v>
      </c>
      <c r="P52" s="25" t="n">
        <v>62723.32</v>
      </c>
      <c r="Q52" s="32" t="n">
        <f aca="false">O52-P52</f>
        <v>-0.00307039138715481</v>
      </c>
    </row>
    <row r="53" customFormat="false" ht="15" hidden="false" customHeight="false" outlineLevel="0" collapsed="false">
      <c r="A53" s="14" t="s">
        <v>221</v>
      </c>
      <c r="B53" s="14" t="n">
        <v>3</v>
      </c>
      <c r="C53" s="14" t="s">
        <v>189</v>
      </c>
      <c r="D53" s="14" t="n">
        <v>37</v>
      </c>
      <c r="E53" s="14" t="n">
        <v>10.53</v>
      </c>
      <c r="F53" s="31" t="n">
        <v>0.8513</v>
      </c>
      <c r="G53" s="31" t="n">
        <v>0.4006</v>
      </c>
      <c r="H53" s="25" t="n">
        <v>779609.77</v>
      </c>
      <c r="I53" s="25" t="n">
        <v>265870.93</v>
      </c>
      <c r="J53" s="32" t="n">
        <f aca="false">F53*G53*H53</f>
        <v>265870.927958721</v>
      </c>
      <c r="K53" s="32" t="n">
        <f aca="false">J53-I53</f>
        <v>-0.00204127939650789</v>
      </c>
      <c r="L53" s="28" t="n">
        <f aca="false">IF(B53=1,12,IF(B53=2,MIN(MAX(D53,1),60),6))</f>
        <v>6</v>
      </c>
      <c r="M53" s="11" t="n">
        <f aca="false">IF(B53=3,1,IFERROR(INDEX(PD_TermStructure!$C$2:$C$241,MATCH(C53&amp;"|"&amp;L53,PD_TermStructure!$D$2:$D$241,0)),0))</f>
        <v>1</v>
      </c>
      <c r="N53" s="22" t="n">
        <f aca="false">(1+E53/100)^(-(L53/12)/2)</f>
        <v>0.97528143550745</v>
      </c>
      <c r="O53" s="32" t="n">
        <f aca="false">IF(H53&lt;=0,0,M53*Assumptions!$B$3*H53*N53)</f>
        <v>315327.43757069</v>
      </c>
      <c r="P53" s="25" t="n">
        <v>315327.44</v>
      </c>
      <c r="Q53" s="32" t="n">
        <f aca="false">O53-P53</f>
        <v>-0.00242931011598557</v>
      </c>
    </row>
    <row r="54" customFormat="false" ht="15" hidden="false" customHeight="false" outlineLevel="0" collapsed="false">
      <c r="A54" s="14" t="s">
        <v>222</v>
      </c>
      <c r="B54" s="14" t="n">
        <v>1</v>
      </c>
      <c r="C54" s="14" t="s">
        <v>154</v>
      </c>
      <c r="D54" s="14" t="n">
        <v>64</v>
      </c>
      <c r="E54" s="14" t="n">
        <v>13.72</v>
      </c>
      <c r="F54" s="31" t="n">
        <v>0.0243</v>
      </c>
      <c r="G54" s="31" t="n">
        <v>0.4458</v>
      </c>
      <c r="H54" s="25" t="n">
        <v>1275973.67</v>
      </c>
      <c r="I54" s="25" t="n">
        <v>13822.55</v>
      </c>
      <c r="J54" s="32" t="n">
        <f aca="false">F54*G54*H54</f>
        <v>13822.5462086898</v>
      </c>
      <c r="K54" s="32" t="n">
        <f aca="false">J54-I54</f>
        <v>-0.00379131020054047</v>
      </c>
      <c r="L54" s="28" t="n">
        <f aca="false">IF(B54=1,12,IF(B54=2,MIN(MAX(D54,1),60),6))</f>
        <v>12</v>
      </c>
      <c r="M54" s="11" t="n">
        <f aca="false">IF(B54=3,1,IFERROR(INDEX(PD_TermStructure!$C$2:$C$241,MATCH(C54&amp;"|"&amp;L54,PD_TermStructure!$D$2:$D$241,0)),0))</f>
        <v>0.109872</v>
      </c>
      <c r="N54" s="22" t="n">
        <f aca="false">(1+E54/100)^(-(L54/12)/2)</f>
        <v>0.937738127806421</v>
      </c>
      <c r="O54" s="32" t="n">
        <f aca="false">IF(H54&lt;=0,0,M54*Assumptions!$B$3*H54*N54)</f>
        <v>54521.1299967444</v>
      </c>
      <c r="P54" s="25" t="n">
        <v>54521.13</v>
      </c>
      <c r="Q54" s="32" t="n">
        <f aca="false">O54-P54</f>
        <v>-3.25564906233922E-006</v>
      </c>
    </row>
    <row r="55" customFormat="false" ht="15" hidden="false" customHeight="false" outlineLevel="0" collapsed="false">
      <c r="A55" s="14" t="s">
        <v>223</v>
      </c>
      <c r="B55" s="14" t="n">
        <v>1</v>
      </c>
      <c r="C55" s="14" t="s">
        <v>154</v>
      </c>
      <c r="D55" s="14" t="n">
        <v>58</v>
      </c>
      <c r="E55" s="14" t="n">
        <v>13.55</v>
      </c>
      <c r="F55" s="31" t="n">
        <v>0.0199</v>
      </c>
      <c r="G55" s="31" t="n">
        <v>0.6147</v>
      </c>
      <c r="H55" s="25" t="n">
        <v>413581.84</v>
      </c>
      <c r="I55" s="25" t="n">
        <v>5059.15</v>
      </c>
      <c r="J55" s="32" t="n">
        <f aca="false">F55*G55*H55</f>
        <v>5059.1522652552</v>
      </c>
      <c r="K55" s="32" t="n">
        <f aca="false">J55-I55</f>
        <v>0.00226525520156429</v>
      </c>
      <c r="L55" s="28" t="n">
        <f aca="false">IF(B55=1,12,IF(B55=2,MIN(MAX(D55,1),60),6))</f>
        <v>12</v>
      </c>
      <c r="M55" s="11" t="n">
        <f aca="false">IF(B55=3,1,IFERROR(INDEX(PD_TermStructure!$C$2:$C$241,MATCH(C55&amp;"|"&amp;L55,PD_TermStructure!$D$2:$D$241,0)),0))</f>
        <v>0.109872</v>
      </c>
      <c r="N55" s="22" t="n">
        <f aca="false">(1+E55/100)^(-(L55/12)/2)</f>
        <v>0.938439826880015</v>
      </c>
      <c r="O55" s="32" t="n">
        <f aca="false">IF(H55&lt;=0,0,M55*Assumptions!$B$3*H55*N55)</f>
        <v>17685.1787171827</v>
      </c>
      <c r="P55" s="25" t="n">
        <v>17685.18</v>
      </c>
      <c r="Q55" s="32" t="n">
        <f aca="false">O55-P55</f>
        <v>-0.00128281727302237</v>
      </c>
    </row>
    <row r="56" customFormat="false" ht="15" hidden="false" customHeight="false" outlineLevel="0" collapsed="false">
      <c r="A56" s="14" t="s">
        <v>224</v>
      </c>
      <c r="B56" s="14" t="n">
        <v>1</v>
      </c>
      <c r="C56" s="14" t="s">
        <v>154</v>
      </c>
      <c r="D56" s="14" t="n">
        <v>42</v>
      </c>
      <c r="E56" s="14" t="n">
        <v>8.01</v>
      </c>
      <c r="F56" s="31" t="n">
        <v>0.0145</v>
      </c>
      <c r="G56" s="31" t="n">
        <v>0.3911</v>
      </c>
      <c r="H56" s="25" t="n">
        <v>665157.87</v>
      </c>
      <c r="I56" s="25" t="n">
        <v>3772.08</v>
      </c>
      <c r="J56" s="32" t="n">
        <f aca="false">F56*G56*H56</f>
        <v>3772.0770228765</v>
      </c>
      <c r="K56" s="32" t="n">
        <f aca="false">J56-I56</f>
        <v>-0.00297712349993162</v>
      </c>
      <c r="L56" s="28" t="n">
        <f aca="false">IF(B56=1,12,IF(B56=2,MIN(MAX(D56,1),60),6))</f>
        <v>12</v>
      </c>
      <c r="M56" s="11" t="n">
        <f aca="false">IF(B56=3,1,IFERROR(INDEX(PD_TermStructure!$C$2:$C$241,MATCH(C56&amp;"|"&amp;L56,PD_TermStructure!$D$2:$D$241,0)),0))</f>
        <v>0.109872</v>
      </c>
      <c r="N56" s="22" t="n">
        <f aca="false">(1+E56/100)^(-(L56/12)/2)</f>
        <v>0.962205903110911</v>
      </c>
      <c r="O56" s="32" t="n">
        <f aca="false">IF(H56&lt;=0,0,M56*Assumptions!$B$3*H56*N56)</f>
        <v>29163.1419700258</v>
      </c>
      <c r="P56" s="25" t="n">
        <v>29163.14</v>
      </c>
      <c r="Q56" s="32" t="n">
        <f aca="false">O56-P56</f>
        <v>0.00197002580898698</v>
      </c>
    </row>
    <row r="57" customFormat="false" ht="15" hidden="false" customHeight="false" outlineLevel="0" collapsed="false">
      <c r="A57" s="14" t="s">
        <v>225</v>
      </c>
      <c r="B57" s="14" t="n">
        <v>1</v>
      </c>
      <c r="C57" s="14" t="s">
        <v>155</v>
      </c>
      <c r="D57" s="14" t="n">
        <v>56</v>
      </c>
      <c r="E57" s="14" t="n">
        <v>11.05</v>
      </c>
      <c r="F57" s="31" t="n">
        <v>0.0227</v>
      </c>
      <c r="G57" s="31" t="n">
        <v>0.5251</v>
      </c>
      <c r="H57" s="25" t="n">
        <v>980068.18</v>
      </c>
      <c r="I57" s="25" t="n">
        <v>11682.19</v>
      </c>
      <c r="J57" s="32" t="n">
        <f aca="false">F57*G57*H57</f>
        <v>11682.1872899186</v>
      </c>
      <c r="K57" s="32" t="n">
        <f aca="false">J57-I57</f>
        <v>-0.00271008139861806</v>
      </c>
      <c r="L57" s="28" t="n">
        <f aca="false">IF(B57=1,12,IF(B57=2,MIN(MAX(D57,1),60),6))</f>
        <v>12</v>
      </c>
      <c r="M57" s="11" t="n">
        <f aca="false">IF(B57=3,1,IFERROR(INDEX(PD_TermStructure!$C$2:$C$241,MATCH(C57&amp;"|"&amp;L57,PD_TermStructure!$D$2:$D$241,0)),0))</f>
        <v>0.164153</v>
      </c>
      <c r="N57" s="22" t="n">
        <f aca="false">(1+E57/100)^(-(L57/12)/2)</f>
        <v>0.948944293623087</v>
      </c>
      <c r="O57" s="32" t="n">
        <f aca="false">IF(H57&lt;=0,0,M57*Assumptions!$B$3*H57*N57)</f>
        <v>63314.0890846819</v>
      </c>
      <c r="P57" s="25" t="n">
        <v>63314.09</v>
      </c>
      <c r="Q57" s="32" t="n">
        <f aca="false">O57-P57</f>
        <v>-0.000915318145416677</v>
      </c>
    </row>
    <row r="58" customFormat="false" ht="15" hidden="false" customHeight="false" outlineLevel="0" collapsed="false">
      <c r="A58" s="14" t="s">
        <v>226</v>
      </c>
      <c r="B58" s="14" t="n">
        <v>1</v>
      </c>
      <c r="C58" s="14" t="s">
        <v>154</v>
      </c>
      <c r="D58" s="14" t="n">
        <v>34</v>
      </c>
      <c r="E58" s="14" t="n">
        <v>11.01</v>
      </c>
      <c r="F58" s="31" t="n">
        <v>0.0213</v>
      </c>
      <c r="G58" s="31" t="n">
        <v>0.4077</v>
      </c>
      <c r="H58" s="25" t="n">
        <v>482429.34</v>
      </c>
      <c r="I58" s="25" t="n">
        <v>4189.42</v>
      </c>
      <c r="J58" s="32" t="n">
        <f aca="false">F58*G58*H58</f>
        <v>4189.4212128534</v>
      </c>
      <c r="K58" s="32" t="n">
        <f aca="false">J58-I58</f>
        <v>0.00121285340082977</v>
      </c>
      <c r="L58" s="28" t="n">
        <f aca="false">IF(B58=1,12,IF(B58=2,MIN(MAX(D58,1),60),6))</f>
        <v>12</v>
      </c>
      <c r="M58" s="11" t="n">
        <f aca="false">IF(B58=3,1,IFERROR(INDEX(PD_TermStructure!$C$2:$C$241,MATCH(C58&amp;"|"&amp;L58,PD_TermStructure!$D$2:$D$241,0)),0))</f>
        <v>0.109872</v>
      </c>
      <c r="N58" s="22" t="n">
        <f aca="false">(1+E58/100)^(-(L58/12)/2)</f>
        <v>0.949115243776451</v>
      </c>
      <c r="O58" s="32" t="n">
        <f aca="false">IF(H58&lt;=0,0,M58*Assumptions!$B$3*H58*N58)</f>
        <v>20863.8389812628</v>
      </c>
      <c r="P58" s="25" t="n">
        <v>20863.84</v>
      </c>
      <c r="Q58" s="32" t="n">
        <f aca="false">O58-P58</f>
        <v>-0.00101873715539114</v>
      </c>
    </row>
    <row r="59" customFormat="false" ht="15" hidden="false" customHeight="false" outlineLevel="0" collapsed="false">
      <c r="A59" s="14" t="s">
        <v>227</v>
      </c>
      <c r="B59" s="14" t="n">
        <v>1</v>
      </c>
      <c r="C59" s="14" t="s">
        <v>154</v>
      </c>
      <c r="D59" s="14" t="n">
        <v>71</v>
      </c>
      <c r="E59" s="14" t="n">
        <v>10.16</v>
      </c>
      <c r="F59" s="31" t="n">
        <v>0.0156</v>
      </c>
      <c r="G59" s="31" t="n">
        <v>0.5347</v>
      </c>
      <c r="H59" s="25" t="n">
        <v>1150258.38</v>
      </c>
      <c r="I59" s="25" t="n">
        <v>9594.67</v>
      </c>
      <c r="J59" s="32" t="n">
        <f aca="false">F59*G59*H59</f>
        <v>9594.6732302616</v>
      </c>
      <c r="K59" s="32" t="n">
        <f aca="false">J59-I59</f>
        <v>0.00323026159821893</v>
      </c>
      <c r="L59" s="28" t="n">
        <f aca="false">IF(B59=1,12,IF(B59=2,MIN(MAX(D59,1),60),6))</f>
        <v>12</v>
      </c>
      <c r="M59" s="11" t="n">
        <f aca="false">IF(B59=3,1,IFERROR(INDEX(PD_TermStructure!$C$2:$C$241,MATCH(C59&amp;"|"&amp;L59,PD_TermStructure!$D$2:$D$241,0)),0))</f>
        <v>0.109872</v>
      </c>
      <c r="N59" s="22" t="n">
        <f aca="false">(1+E59/100)^(-(L59/12)/2)</f>
        <v>0.952769917458383</v>
      </c>
      <c r="O59" s="32" t="n">
        <f aca="false">IF(H59&lt;=0,0,M59*Assumptions!$B$3*H59*N59)</f>
        <v>49937.2938101702</v>
      </c>
      <c r="P59" s="25" t="n">
        <v>49937.29</v>
      </c>
      <c r="Q59" s="32" t="n">
        <f aca="false">O59-P59</f>
        <v>0.00381017023755703</v>
      </c>
    </row>
    <row r="60" customFormat="false" ht="15" hidden="false" customHeight="false" outlineLevel="0" collapsed="false">
      <c r="A60" s="14" t="s">
        <v>228</v>
      </c>
      <c r="B60" s="14" t="n">
        <v>1</v>
      </c>
      <c r="C60" s="14" t="s">
        <v>154</v>
      </c>
      <c r="D60" s="14" t="n">
        <v>54</v>
      </c>
      <c r="E60" s="14" t="n">
        <v>12.05</v>
      </c>
      <c r="F60" s="31" t="n">
        <v>0.026</v>
      </c>
      <c r="G60" s="31" t="n">
        <v>0.4691</v>
      </c>
      <c r="H60" s="25" t="n">
        <v>473628.15</v>
      </c>
      <c r="I60" s="25" t="n">
        <v>5776.65</v>
      </c>
      <c r="J60" s="32" t="n">
        <f aca="false">F60*G60*H60</f>
        <v>5776.65309429</v>
      </c>
      <c r="K60" s="32" t="n">
        <f aca="false">J60-I60</f>
        <v>0.00309429000117234</v>
      </c>
      <c r="L60" s="28" t="n">
        <f aca="false">IF(B60=1,12,IF(B60=2,MIN(MAX(D60,1),60),6))</f>
        <v>12</v>
      </c>
      <c r="M60" s="11" t="n">
        <f aca="false">IF(B60=3,1,IFERROR(INDEX(PD_TermStructure!$C$2:$C$241,MATCH(C60&amp;"|"&amp;L60,PD_TermStructure!$D$2:$D$241,0)),0))</f>
        <v>0.109872</v>
      </c>
      <c r="N60" s="22" t="n">
        <f aca="false">(1+E60/100)^(-(L60/12)/2)</f>
        <v>0.944700335441893</v>
      </c>
      <c r="O60" s="32" t="n">
        <f aca="false">IF(H60&lt;=0,0,M60*Assumptions!$B$3*H60*N60)</f>
        <v>20387.9301699011</v>
      </c>
      <c r="P60" s="25" t="n">
        <v>20387.93</v>
      </c>
      <c r="Q60" s="32" t="n">
        <f aca="false">O60-P60</f>
        <v>0.000169901104527526</v>
      </c>
    </row>
    <row r="61" customFormat="false" ht="15" hidden="false" customHeight="false" outlineLevel="0" collapsed="false">
      <c r="A61" s="14" t="s">
        <v>229</v>
      </c>
      <c r="B61" s="14" t="n">
        <v>1</v>
      </c>
      <c r="C61" s="14" t="s">
        <v>154</v>
      </c>
      <c r="D61" s="14" t="n">
        <v>77</v>
      </c>
      <c r="E61" s="14" t="n">
        <v>11.17</v>
      </c>
      <c r="F61" s="31" t="n">
        <v>0.0213</v>
      </c>
      <c r="G61" s="31" t="n">
        <v>0.5416</v>
      </c>
      <c r="H61" s="25" t="n">
        <v>1433867.88</v>
      </c>
      <c r="I61" s="25" t="n">
        <v>16541.21</v>
      </c>
      <c r="J61" s="32" t="n">
        <f aca="false">F61*G61*H61</f>
        <v>16541.2145731104</v>
      </c>
      <c r="K61" s="32" t="n">
        <f aca="false">J61-I61</f>
        <v>0.00457311039644992</v>
      </c>
      <c r="L61" s="28" t="n">
        <f aca="false">IF(B61=1,12,IF(B61=2,MIN(MAX(D61,1),60),6))</f>
        <v>12</v>
      </c>
      <c r="M61" s="11" t="n">
        <f aca="false">IF(B61=3,1,IFERROR(INDEX(PD_TermStructure!$C$2:$C$241,MATCH(C61&amp;"|"&amp;L61,PD_TermStructure!$D$2:$D$241,0)),0))</f>
        <v>0.109872</v>
      </c>
      <c r="N61" s="22" t="n">
        <f aca="false">(1+E61/100)^(-(L61/12)/2)</f>
        <v>0.948431996864341</v>
      </c>
      <c r="O61" s="32" t="n">
        <f aca="false">IF(H61&lt;=0,0,M61*Assumptions!$B$3*H61*N61)</f>
        <v>61966.4896734074</v>
      </c>
      <c r="P61" s="25" t="n">
        <v>61966.49</v>
      </c>
      <c r="Q61" s="32" t="n">
        <f aca="false">O61-P61</f>
        <v>-0.000326592606143095</v>
      </c>
    </row>
    <row r="62" customFormat="false" ht="15" hidden="false" customHeight="false" outlineLevel="0" collapsed="false">
      <c r="A62" s="14" t="s">
        <v>230</v>
      </c>
      <c r="B62" s="14" t="n">
        <v>1</v>
      </c>
      <c r="C62" s="14" t="s">
        <v>154</v>
      </c>
      <c r="D62" s="14" t="n">
        <v>47</v>
      </c>
      <c r="E62" s="14" t="n">
        <v>12.08</v>
      </c>
      <c r="F62" s="31" t="n">
        <v>0.019</v>
      </c>
      <c r="G62" s="31" t="n">
        <v>0.5148</v>
      </c>
      <c r="H62" s="25" t="n">
        <v>409378.9</v>
      </c>
      <c r="I62" s="25" t="n">
        <v>4004.22</v>
      </c>
      <c r="J62" s="32" t="n">
        <f aca="false">F62*G62*H62</f>
        <v>4004.21689668</v>
      </c>
      <c r="K62" s="32" t="n">
        <f aca="false">J62-I62</f>
        <v>-0.00310331999935443</v>
      </c>
      <c r="L62" s="28" t="n">
        <f aca="false">IF(B62=1,12,IF(B62=2,MIN(MAX(D62,1),60),6))</f>
        <v>12</v>
      </c>
      <c r="M62" s="11" t="n">
        <f aca="false">IF(B62=3,1,IFERROR(INDEX(PD_TermStructure!$C$2:$C$241,MATCH(C62&amp;"|"&amp;L62,PD_TermStructure!$D$2:$D$241,0)),0))</f>
        <v>0.109872</v>
      </c>
      <c r="N62" s="22" t="n">
        <f aca="false">(1+E62/100)^(-(L62/12)/2)</f>
        <v>0.94457389492263</v>
      </c>
      <c r="O62" s="32" t="n">
        <f aca="false">IF(H62&lt;=0,0,M62*Assumptions!$B$3*H62*N62)</f>
        <v>17619.8803417155</v>
      </c>
      <c r="P62" s="25" t="n">
        <v>17619.88</v>
      </c>
      <c r="Q62" s="32" t="n">
        <f aca="false">O62-P62</f>
        <v>0.000341715502145235</v>
      </c>
    </row>
    <row r="63" customFormat="false" ht="15" hidden="false" customHeight="false" outlineLevel="0" collapsed="false">
      <c r="A63" s="14" t="s">
        <v>231</v>
      </c>
      <c r="B63" s="14" t="n">
        <v>2</v>
      </c>
      <c r="C63" s="14" t="s">
        <v>156</v>
      </c>
      <c r="D63" s="14" t="n">
        <v>74</v>
      </c>
      <c r="E63" s="14" t="n">
        <v>8.92</v>
      </c>
      <c r="F63" s="31" t="n">
        <v>0.1125</v>
      </c>
      <c r="G63" s="31" t="n">
        <v>0.5949</v>
      </c>
      <c r="H63" s="25" t="n">
        <v>285191.46</v>
      </c>
      <c r="I63" s="25" t="n">
        <v>19086.79</v>
      </c>
      <c r="J63" s="32" t="n">
        <f aca="false">F63*G63*H63</f>
        <v>19086.794949825</v>
      </c>
      <c r="K63" s="32" t="n">
        <f aca="false">J63-I63</f>
        <v>0.0049498250009492</v>
      </c>
      <c r="L63" s="28" t="n">
        <f aca="false">IF(B63=1,12,IF(B63=2,MIN(MAX(D63,1),60),6))</f>
        <v>60</v>
      </c>
      <c r="M63" s="11" t="n">
        <f aca="false">IF(B63=3,1,IFERROR(INDEX(PD_TermStructure!$C$2:$C$241,MATCH(C63&amp;"|"&amp;L63,PD_TermStructure!$D$2:$D$241,0)),0))</f>
        <v>1</v>
      </c>
      <c r="N63" s="22" t="n">
        <f aca="false">(1+E63/100)^(-(L63/12)/2)</f>
        <v>0.807664358592897</v>
      </c>
      <c r="O63" s="32" t="n">
        <f aca="false">IF(H63&lt;=0,0,M63*Assumptions!$B$3*H63*N63)</f>
        <v>95526.0820956115</v>
      </c>
      <c r="P63" s="25" t="n">
        <v>95526.08</v>
      </c>
      <c r="Q63" s="32" t="n">
        <f aca="false">O63-P63</f>
        <v>0.00209561144583859</v>
      </c>
    </row>
    <row r="64" customFormat="false" ht="15" hidden="false" customHeight="false" outlineLevel="0" collapsed="false">
      <c r="A64" s="14" t="s">
        <v>232</v>
      </c>
      <c r="B64" s="14" t="n">
        <v>1</v>
      </c>
      <c r="C64" s="14" t="s">
        <v>154</v>
      </c>
      <c r="D64" s="14" t="n">
        <v>31</v>
      </c>
      <c r="E64" s="14" t="n">
        <v>10.12</v>
      </c>
      <c r="F64" s="31" t="n">
        <v>0.0221</v>
      </c>
      <c r="G64" s="31" t="n">
        <v>0.5133</v>
      </c>
      <c r="H64" s="25" t="n">
        <v>665113.05</v>
      </c>
      <c r="I64" s="25" t="n">
        <v>7545</v>
      </c>
      <c r="J64" s="32" t="n">
        <f aca="false">F64*G64*H64</f>
        <v>7544.9958812865</v>
      </c>
      <c r="K64" s="32" t="n">
        <f aca="false">J64-I64</f>
        <v>-0.0041187134993379</v>
      </c>
      <c r="L64" s="28" t="n">
        <f aca="false">IF(B64=1,12,IF(B64=2,MIN(MAX(D64,1),60),6))</f>
        <v>12</v>
      </c>
      <c r="M64" s="11" t="n">
        <f aca="false">IF(B64=3,1,IFERROR(INDEX(PD_TermStructure!$C$2:$C$241,MATCH(C64&amp;"|"&amp;L64,PD_TermStructure!$D$2:$D$241,0)),0))</f>
        <v>0.109872</v>
      </c>
      <c r="N64" s="22" t="n">
        <f aca="false">(1+E64/100)^(-(L64/12)/2)</f>
        <v>0.952942943868137</v>
      </c>
      <c r="O64" s="32" t="n">
        <f aca="false">IF(H64&lt;=0,0,M64*Assumptions!$B$3*H64*N64)</f>
        <v>28880.4482047392</v>
      </c>
      <c r="P64" s="25" t="n">
        <v>28880.45</v>
      </c>
      <c r="Q64" s="32" t="n">
        <f aca="false">O64-P64</f>
        <v>-0.00179526079227799</v>
      </c>
    </row>
    <row r="65" customFormat="false" ht="15" hidden="false" customHeight="false" outlineLevel="0" collapsed="false">
      <c r="A65" s="14" t="s">
        <v>233</v>
      </c>
      <c r="B65" s="14" t="n">
        <v>1</v>
      </c>
      <c r="C65" s="14" t="s">
        <v>154</v>
      </c>
      <c r="D65" s="14" t="n">
        <v>46</v>
      </c>
      <c r="E65" s="14" t="n">
        <v>7.74</v>
      </c>
      <c r="F65" s="31" t="n">
        <v>0.0209</v>
      </c>
      <c r="G65" s="31" t="n">
        <v>0.5818</v>
      </c>
      <c r="H65" s="25" t="n">
        <v>195247.98</v>
      </c>
      <c r="I65" s="25" t="n">
        <v>2374.14</v>
      </c>
      <c r="J65" s="32" t="n">
        <f aca="false">F65*G65*H65</f>
        <v>2374.1412425676</v>
      </c>
      <c r="K65" s="32" t="n">
        <f aca="false">J65-I65</f>
        <v>0.00124256760000208</v>
      </c>
      <c r="L65" s="28" t="n">
        <f aca="false">IF(B65=1,12,IF(B65=2,MIN(MAX(D65,1),60),6))</f>
        <v>12</v>
      </c>
      <c r="M65" s="11" t="n">
        <f aca="false">IF(B65=3,1,IFERROR(INDEX(PD_TermStructure!$C$2:$C$241,MATCH(C65&amp;"|"&amp;L65,PD_TermStructure!$D$2:$D$241,0)),0))</f>
        <v>0.109872</v>
      </c>
      <c r="N65" s="22" t="n">
        <f aca="false">(1+E65/100)^(-(L65/12)/2)</f>
        <v>0.963410808593468</v>
      </c>
      <c r="O65" s="32" t="n">
        <f aca="false">IF(H65&lt;=0,0,M65*Assumptions!$B$3*H65*N65)</f>
        <v>8571.16044891875</v>
      </c>
      <c r="P65" s="25" t="n">
        <v>8571.16</v>
      </c>
      <c r="Q65" s="32" t="n">
        <f aca="false">O65-P65</f>
        <v>0.000448918750407756</v>
      </c>
    </row>
    <row r="66" customFormat="false" ht="15" hidden="false" customHeight="false" outlineLevel="0" collapsed="false">
      <c r="A66" s="14" t="s">
        <v>234</v>
      </c>
      <c r="B66" s="14" t="n">
        <v>1</v>
      </c>
      <c r="C66" s="14" t="s">
        <v>154</v>
      </c>
      <c r="D66" s="14" t="n">
        <v>47</v>
      </c>
      <c r="E66" s="14" t="n">
        <v>11.39</v>
      </c>
      <c r="F66" s="31" t="n">
        <v>0.0256</v>
      </c>
      <c r="G66" s="31" t="n">
        <v>0.5172</v>
      </c>
      <c r="H66" s="25" t="n">
        <v>913760.73</v>
      </c>
      <c r="I66" s="25" t="n">
        <v>12098.48</v>
      </c>
      <c r="J66" s="32" t="n">
        <f aca="false">F66*G66*H66</f>
        <v>12098.4844686336</v>
      </c>
      <c r="K66" s="32" t="n">
        <f aca="false">J66-I66</f>
        <v>0.00446863360048155</v>
      </c>
      <c r="L66" s="28" t="n">
        <f aca="false">IF(B66=1,12,IF(B66=2,MIN(MAX(D66,1),60),6))</f>
        <v>12</v>
      </c>
      <c r="M66" s="11" t="n">
        <f aca="false">IF(B66=3,1,IFERROR(INDEX(PD_TermStructure!$C$2:$C$241,MATCH(C66&amp;"|"&amp;L66,PD_TermStructure!$D$2:$D$241,0)),0))</f>
        <v>0.109872</v>
      </c>
      <c r="N66" s="22" t="n">
        <f aca="false">(1+E66/100)^(-(L66/12)/2)</f>
        <v>0.947494937133548</v>
      </c>
      <c r="O66" s="32" t="n">
        <f aca="false">IF(H66&lt;=0,0,M66*Assumptions!$B$3*H66*N66)</f>
        <v>39450.3580293603</v>
      </c>
      <c r="P66" s="25" t="n">
        <v>39450.36</v>
      </c>
      <c r="Q66" s="32" t="n">
        <f aca="false">O66-P66</f>
        <v>-0.00197063970699674</v>
      </c>
    </row>
    <row r="67" customFormat="false" ht="15" hidden="false" customHeight="false" outlineLevel="0" collapsed="false">
      <c r="A67" s="14" t="s">
        <v>235</v>
      </c>
      <c r="B67" s="14" t="n">
        <v>1</v>
      </c>
      <c r="C67" s="14" t="s">
        <v>154</v>
      </c>
      <c r="D67" s="14" t="n">
        <v>33</v>
      </c>
      <c r="E67" s="14" t="n">
        <v>8.96</v>
      </c>
      <c r="F67" s="31" t="n">
        <v>0.0204</v>
      </c>
      <c r="G67" s="31" t="n">
        <v>0.4578</v>
      </c>
      <c r="H67" s="25" t="n">
        <v>332803.36</v>
      </c>
      <c r="I67" s="25" t="n">
        <v>3108.09</v>
      </c>
      <c r="J67" s="32" t="n">
        <f aca="false">F67*G67*H67</f>
        <v>3108.0905154432</v>
      </c>
      <c r="K67" s="32" t="n">
        <f aca="false">J67-I67</f>
        <v>0.000515443200129084</v>
      </c>
      <c r="L67" s="28" t="n">
        <f aca="false">IF(B67=1,12,IF(B67=2,MIN(MAX(D67,1),60),6))</f>
        <v>12</v>
      </c>
      <c r="M67" s="11" t="n">
        <f aca="false">IF(B67=3,1,IFERROR(INDEX(PD_TermStructure!$C$2:$C$241,MATCH(C67&amp;"|"&amp;L67,PD_TermStructure!$D$2:$D$241,0)),0))</f>
        <v>0.109872</v>
      </c>
      <c r="N67" s="22" t="n">
        <f aca="false">(1+E67/100)^(-(L67/12)/2)</f>
        <v>0.958002081549184</v>
      </c>
      <c r="O67" s="32" t="n">
        <f aca="false">IF(H67&lt;=0,0,M67*Assumptions!$B$3*H67*N67)</f>
        <v>14527.6616377983</v>
      </c>
      <c r="P67" s="25" t="n">
        <v>14527.66</v>
      </c>
      <c r="Q67" s="32" t="n">
        <f aca="false">O67-P67</f>
        <v>0.00163779827198596</v>
      </c>
    </row>
    <row r="68" customFormat="false" ht="15" hidden="false" customHeight="false" outlineLevel="0" collapsed="false">
      <c r="A68" s="14" t="s">
        <v>236</v>
      </c>
      <c r="B68" s="14" t="n">
        <v>1</v>
      </c>
      <c r="C68" s="14" t="s">
        <v>154</v>
      </c>
      <c r="D68" s="14" t="n">
        <v>24</v>
      </c>
      <c r="E68" s="14" t="n">
        <v>7.61</v>
      </c>
      <c r="F68" s="31" t="n">
        <v>0.0195</v>
      </c>
      <c r="G68" s="31" t="n">
        <v>0.5698</v>
      </c>
      <c r="H68" s="25" t="n">
        <v>280535.85</v>
      </c>
      <c r="I68" s="25" t="n">
        <v>3117.06</v>
      </c>
      <c r="J68" s="32" t="n">
        <f aca="false">F68*G68*H68</f>
        <v>3117.061882935</v>
      </c>
      <c r="K68" s="32" t="n">
        <f aca="false">J68-I68</f>
        <v>0.0018829349992302</v>
      </c>
      <c r="L68" s="28" t="n">
        <f aca="false">IF(B68=1,12,IF(B68=2,MIN(MAX(D68,1),60),6))</f>
        <v>12</v>
      </c>
      <c r="M68" s="11" t="n">
        <f aca="false">IF(B68=3,1,IFERROR(INDEX(PD_TermStructure!$C$2:$C$241,MATCH(C68&amp;"|"&amp;L68,PD_TermStructure!$D$2:$D$241,0)),0))</f>
        <v>0.109872</v>
      </c>
      <c r="N68" s="22" t="n">
        <f aca="false">(1+E68/100)^(-(L68/12)/2)</f>
        <v>0.963992564946818</v>
      </c>
      <c r="O68" s="32" t="n">
        <f aca="false">IF(H68&lt;=0,0,M68*Assumptions!$B$3*H68*N68)</f>
        <v>12322.6358189461</v>
      </c>
      <c r="P68" s="25" t="n">
        <v>12322.64</v>
      </c>
      <c r="Q68" s="32" t="n">
        <f aca="false">O68-P68</f>
        <v>-0.00418105394965096</v>
      </c>
    </row>
    <row r="69" customFormat="false" ht="15" hidden="false" customHeight="false" outlineLevel="0" collapsed="false">
      <c r="A69" s="14" t="s">
        <v>237</v>
      </c>
      <c r="B69" s="14" t="n">
        <v>1</v>
      </c>
      <c r="C69" s="14" t="s">
        <v>154</v>
      </c>
      <c r="D69" s="14" t="n">
        <v>0</v>
      </c>
      <c r="E69" s="14" t="n">
        <v>10.39</v>
      </c>
      <c r="F69" s="31" t="n">
        <v>0.0142</v>
      </c>
      <c r="G69" s="31" t="n">
        <v>0.5667</v>
      </c>
      <c r="H69" s="25" t="n">
        <v>0</v>
      </c>
      <c r="I69" s="25" t="n">
        <v>0</v>
      </c>
      <c r="J69" s="32" t="n">
        <f aca="false">F69*G69*H69</f>
        <v>0</v>
      </c>
      <c r="K69" s="32" t="n">
        <f aca="false">J69-I69</f>
        <v>0</v>
      </c>
      <c r="L69" s="28" t="n">
        <f aca="false">IF(B69=1,12,IF(B69=2,MIN(MAX(D69,1),60),6))</f>
        <v>12</v>
      </c>
      <c r="M69" s="11" t="n">
        <f aca="false">IF(B69=3,1,IFERROR(INDEX(PD_TermStructure!$C$2:$C$241,MATCH(C69&amp;"|"&amp;L69,PD_TermStructure!$D$2:$D$241,0)),0))</f>
        <v>0.109872</v>
      </c>
      <c r="N69" s="22" t="n">
        <f aca="false">(1+E69/100)^(-(L69/12)/2)</f>
        <v>0.95177684134498</v>
      </c>
      <c r="O69" s="32" t="n">
        <f aca="false">IF(H69&lt;=0,0,M69*Assumptions!$B$3*H69*N69)</f>
        <v>0</v>
      </c>
      <c r="P69" s="25" t="n">
        <v>0</v>
      </c>
      <c r="Q69" s="32" t="n">
        <f aca="false">O69-P69</f>
        <v>0</v>
      </c>
    </row>
    <row r="70" customFormat="false" ht="15" hidden="false" customHeight="false" outlineLevel="0" collapsed="false">
      <c r="A70" s="14" t="s">
        <v>238</v>
      </c>
      <c r="B70" s="14" t="n">
        <v>1</v>
      </c>
      <c r="C70" s="14" t="s">
        <v>154</v>
      </c>
      <c r="D70" s="14" t="n">
        <v>21</v>
      </c>
      <c r="E70" s="14" t="n">
        <v>13.06</v>
      </c>
      <c r="F70" s="31" t="n">
        <v>0.0217</v>
      </c>
      <c r="G70" s="31" t="n">
        <v>0.4494</v>
      </c>
      <c r="H70" s="25" t="n">
        <v>379030.82</v>
      </c>
      <c r="I70" s="25" t="n">
        <v>3696.3</v>
      </c>
      <c r="J70" s="32" t="n">
        <f aca="false">F70*G70*H70</f>
        <v>3696.3009760236</v>
      </c>
      <c r="K70" s="32" t="n">
        <f aca="false">J70-I70</f>
        <v>0.000976023599832843</v>
      </c>
      <c r="L70" s="28" t="n">
        <f aca="false">IF(B70=1,12,IF(B70=2,MIN(MAX(D70,1),60),6))</f>
        <v>12</v>
      </c>
      <c r="M70" s="11" t="n">
        <f aca="false">IF(B70=3,1,IFERROR(INDEX(PD_TermStructure!$C$2:$C$241,MATCH(C70&amp;"|"&amp;L70,PD_TermStructure!$D$2:$D$241,0)),0))</f>
        <v>0.109872</v>
      </c>
      <c r="N70" s="22" t="n">
        <f aca="false">(1+E70/100)^(-(L70/12)/2)</f>
        <v>0.940471218894027</v>
      </c>
      <c r="O70" s="32" t="n">
        <f aca="false">IF(H70&lt;=0,0,M70*Assumptions!$B$3*H70*N70)</f>
        <v>16242.826136917</v>
      </c>
      <c r="P70" s="25" t="n">
        <v>16242.83</v>
      </c>
      <c r="Q70" s="32" t="n">
        <f aca="false">O70-P70</f>
        <v>-0.00386308295128401</v>
      </c>
    </row>
    <row r="71" customFormat="false" ht="15" hidden="false" customHeight="false" outlineLevel="0" collapsed="false">
      <c r="A71" s="14" t="s">
        <v>239</v>
      </c>
      <c r="B71" s="14" t="n">
        <v>1</v>
      </c>
      <c r="C71" s="14" t="s">
        <v>154</v>
      </c>
      <c r="D71" s="14" t="n">
        <v>29</v>
      </c>
      <c r="E71" s="14" t="n">
        <v>14.23</v>
      </c>
      <c r="F71" s="31" t="n">
        <v>0.0152</v>
      </c>
      <c r="G71" s="31" t="n">
        <v>0.4196</v>
      </c>
      <c r="H71" s="25" t="n">
        <v>1055344.68</v>
      </c>
      <c r="I71" s="25" t="n">
        <v>6730.9</v>
      </c>
      <c r="J71" s="32" t="n">
        <f aca="false">F71*G71*H71</f>
        <v>6730.9039414656</v>
      </c>
      <c r="K71" s="32" t="n">
        <f aca="false">J71-I71</f>
        <v>0.00394146559938235</v>
      </c>
      <c r="L71" s="28" t="n">
        <f aca="false">IF(B71=1,12,IF(B71=2,MIN(MAX(D71,1),60),6))</f>
        <v>12</v>
      </c>
      <c r="M71" s="11" t="n">
        <f aca="false">IF(B71=3,1,IFERROR(INDEX(PD_TermStructure!$C$2:$C$241,MATCH(C71&amp;"|"&amp;L71,PD_TermStructure!$D$2:$D$241,0)),0))</f>
        <v>0.109872</v>
      </c>
      <c r="N71" s="22" t="n">
        <f aca="false">(1+E71/100)^(-(L71/12)/2)</f>
        <v>0.935642437339523</v>
      </c>
      <c r="O71" s="32" t="n">
        <f aca="false">IF(H71&lt;=0,0,M71*Assumptions!$B$3*H71*N71)</f>
        <v>44993.0876848364</v>
      </c>
      <c r="P71" s="25" t="n">
        <v>44993.09</v>
      </c>
      <c r="Q71" s="32" t="n">
        <f aca="false">O71-P71</f>
        <v>-0.00231516360508977</v>
      </c>
    </row>
    <row r="72" customFormat="false" ht="15" hidden="false" customHeight="false" outlineLevel="0" collapsed="false">
      <c r="A72" s="14" t="s">
        <v>240</v>
      </c>
      <c r="B72" s="14" t="n">
        <v>1</v>
      </c>
      <c r="C72" s="14" t="s">
        <v>154</v>
      </c>
      <c r="D72" s="14" t="n">
        <v>57</v>
      </c>
      <c r="E72" s="14" t="n">
        <v>12.12</v>
      </c>
      <c r="F72" s="31" t="n">
        <v>0.0183</v>
      </c>
      <c r="G72" s="31" t="n">
        <v>0.4309</v>
      </c>
      <c r="H72" s="25" t="n">
        <v>812598.25</v>
      </c>
      <c r="I72" s="25" t="n">
        <v>6407.72</v>
      </c>
      <c r="J72" s="32" t="n">
        <f aca="false">F72*G72*H72</f>
        <v>6407.7191224275</v>
      </c>
      <c r="K72" s="32" t="n">
        <f aca="false">J72-I72</f>
        <v>-0.00087757250003051</v>
      </c>
      <c r="L72" s="28" t="n">
        <f aca="false">IF(B72=1,12,IF(B72=2,MIN(MAX(D72,1),60),6))</f>
        <v>12</v>
      </c>
      <c r="M72" s="11" t="n">
        <f aca="false">IF(B72=3,1,IFERROR(INDEX(PD_TermStructure!$C$2:$C$241,MATCH(C72&amp;"|"&amp;L72,PD_TermStructure!$D$2:$D$241,0)),0))</f>
        <v>0.109872</v>
      </c>
      <c r="N72" s="22" t="n">
        <f aca="false">(1+E72/100)^(-(L72/12)/2)</f>
        <v>0.944405386510813</v>
      </c>
      <c r="O72" s="32" t="n">
        <f aca="false">IF(H72&lt;=0,0,M72*Assumptions!$B$3*H72*N72)</f>
        <v>34968.4111089362</v>
      </c>
      <c r="P72" s="25" t="n">
        <v>34968.41</v>
      </c>
      <c r="Q72" s="32" t="n">
        <f aca="false">O72-P72</f>
        <v>0.00110893614328234</v>
      </c>
    </row>
    <row r="73" customFormat="false" ht="15" hidden="false" customHeight="false" outlineLevel="0" collapsed="false">
      <c r="A73" s="14" t="s">
        <v>241</v>
      </c>
      <c r="B73" s="14" t="n">
        <v>1</v>
      </c>
      <c r="C73" s="14" t="s">
        <v>154</v>
      </c>
      <c r="D73" s="14" t="n">
        <v>50</v>
      </c>
      <c r="E73" s="14" t="n">
        <v>10.21</v>
      </c>
      <c r="F73" s="31" t="n">
        <v>0.017</v>
      </c>
      <c r="G73" s="31" t="n">
        <v>0.424</v>
      </c>
      <c r="H73" s="25" t="n">
        <v>1237127.2</v>
      </c>
      <c r="I73" s="25" t="n">
        <v>8917.21</v>
      </c>
      <c r="J73" s="32" t="n">
        <f aca="false">F73*G73*H73</f>
        <v>8917.2128576</v>
      </c>
      <c r="K73" s="32" t="n">
        <f aca="false">J73-I73</f>
        <v>0.00285760000042501</v>
      </c>
      <c r="L73" s="28" t="n">
        <f aca="false">IF(B73=1,12,IF(B73=2,MIN(MAX(D73,1),60),6))</f>
        <v>12</v>
      </c>
      <c r="M73" s="11" t="n">
        <f aca="false">IF(B73=3,1,IFERROR(INDEX(PD_TermStructure!$C$2:$C$241,MATCH(C73&amp;"|"&amp;L73,PD_TermStructure!$D$2:$D$241,0)),0))</f>
        <v>0.109872</v>
      </c>
      <c r="N73" s="22" t="n">
        <f aca="false">(1+E73/100)^(-(L73/12)/2)</f>
        <v>0.952553766926447</v>
      </c>
      <c r="O73" s="32" t="n">
        <f aca="false">IF(H73&lt;=0,0,M73*Assumptions!$B$3*H73*N73)</f>
        <v>53696.4303603478</v>
      </c>
      <c r="P73" s="25" t="n">
        <v>53696.43</v>
      </c>
      <c r="Q73" s="32" t="n">
        <f aca="false">O73-P73</f>
        <v>0.000360347781679593</v>
      </c>
    </row>
    <row r="74" customFormat="false" ht="15" hidden="false" customHeight="false" outlineLevel="0" collapsed="false">
      <c r="A74" s="14" t="s">
        <v>242</v>
      </c>
      <c r="B74" s="14" t="n">
        <v>1</v>
      </c>
      <c r="C74" s="14" t="s">
        <v>154</v>
      </c>
      <c r="D74" s="14" t="n">
        <v>61</v>
      </c>
      <c r="E74" s="14" t="n">
        <v>8.45</v>
      </c>
      <c r="F74" s="31" t="n">
        <v>0.0154</v>
      </c>
      <c r="G74" s="31" t="n">
        <v>0.5192</v>
      </c>
      <c r="H74" s="25" t="n">
        <v>1058512.26</v>
      </c>
      <c r="I74" s="25" t="n">
        <v>8463.53</v>
      </c>
      <c r="J74" s="32" t="n">
        <f aca="false">F74*G74*H74</f>
        <v>8463.5253070368</v>
      </c>
      <c r="K74" s="32" t="n">
        <f aca="false">J74-I74</f>
        <v>-0.00469296320079593</v>
      </c>
      <c r="L74" s="28" t="n">
        <f aca="false">IF(B74=1,12,IF(B74=2,MIN(MAX(D74,1),60),6))</f>
        <v>12</v>
      </c>
      <c r="M74" s="11" t="n">
        <f aca="false">IF(B74=3,1,IFERROR(INDEX(PD_TermStructure!$C$2:$C$241,MATCH(C74&amp;"|"&amp;L74,PD_TermStructure!$D$2:$D$241,0)),0))</f>
        <v>0.109872</v>
      </c>
      <c r="N74" s="22" t="n">
        <f aca="false">(1+E74/100)^(-(L74/12)/2)</f>
        <v>0.960252003192796</v>
      </c>
      <c r="O74" s="32" t="n">
        <f aca="false">IF(H74&lt;=0,0,M74*Assumptions!$B$3*H74*N74)</f>
        <v>46315.1074037744</v>
      </c>
      <c r="P74" s="25" t="n">
        <v>46315.11</v>
      </c>
      <c r="Q74" s="32" t="n">
        <f aca="false">O74-P74</f>
        <v>-0.00259622564772144</v>
      </c>
    </row>
    <row r="75" customFormat="false" ht="15" hidden="false" customHeight="false" outlineLevel="0" collapsed="false">
      <c r="A75" s="14" t="s">
        <v>243</v>
      </c>
      <c r="B75" s="14" t="n">
        <v>1</v>
      </c>
      <c r="C75" s="14" t="s">
        <v>154</v>
      </c>
      <c r="D75" s="14" t="n">
        <v>41</v>
      </c>
      <c r="E75" s="14" t="n">
        <v>12.21</v>
      </c>
      <c r="F75" s="31" t="n">
        <v>0.0153</v>
      </c>
      <c r="G75" s="31" t="n">
        <v>0.4245</v>
      </c>
      <c r="H75" s="25" t="n">
        <v>497874.81</v>
      </c>
      <c r="I75" s="25" t="n">
        <v>3233.62</v>
      </c>
      <c r="J75" s="32" t="n">
        <f aca="false">F75*G75*H75</f>
        <v>3233.6222097285</v>
      </c>
      <c r="K75" s="32" t="n">
        <f aca="false">J75-I75</f>
        <v>0.00220972850001999</v>
      </c>
      <c r="L75" s="28" t="n">
        <f aca="false">IF(B75=1,12,IF(B75=2,MIN(MAX(D75,1),60),6))</f>
        <v>12</v>
      </c>
      <c r="M75" s="11" t="n">
        <f aca="false">IF(B75=3,1,IFERROR(INDEX(PD_TermStructure!$C$2:$C$241,MATCH(C75&amp;"|"&amp;L75,PD_TermStructure!$D$2:$D$241,0)),0))</f>
        <v>0.109872</v>
      </c>
      <c r="N75" s="22" t="n">
        <f aca="false">(1+E75/100)^(-(L75/12)/2)</f>
        <v>0.9440265720787</v>
      </c>
      <c r="O75" s="32" t="n">
        <f aca="false">IF(H75&lt;=0,0,M75*Assumptions!$B$3*H75*N75)</f>
        <v>21416.3735670862</v>
      </c>
      <c r="P75" s="25" t="n">
        <v>21416.37</v>
      </c>
      <c r="Q75" s="32" t="n">
        <f aca="false">O75-P75</f>
        <v>0.003567086187104</v>
      </c>
    </row>
    <row r="76" customFormat="false" ht="15" hidden="false" customHeight="false" outlineLevel="0" collapsed="false">
      <c r="A76" s="14" t="s">
        <v>244</v>
      </c>
      <c r="B76" s="14" t="n">
        <v>1</v>
      </c>
      <c r="C76" s="14" t="s">
        <v>154</v>
      </c>
      <c r="D76" s="14" t="n">
        <v>49</v>
      </c>
      <c r="E76" s="14" t="n">
        <v>10.12</v>
      </c>
      <c r="F76" s="31" t="n">
        <v>0.0182</v>
      </c>
      <c r="G76" s="31" t="n">
        <v>0.3793</v>
      </c>
      <c r="H76" s="25" t="n">
        <v>473248.37</v>
      </c>
      <c r="I76" s="25" t="n">
        <v>3266.96</v>
      </c>
      <c r="J76" s="32" t="n">
        <f aca="false">F76*G76*H76</f>
        <v>3266.9565426862</v>
      </c>
      <c r="K76" s="32" t="n">
        <f aca="false">J76-I76</f>
        <v>-0.0034573138000269</v>
      </c>
      <c r="L76" s="28" t="n">
        <f aca="false">IF(B76=1,12,IF(B76=2,MIN(MAX(D76,1),60),6))</f>
        <v>12</v>
      </c>
      <c r="M76" s="11" t="n">
        <f aca="false">IF(B76=3,1,IFERROR(INDEX(PD_TermStructure!$C$2:$C$241,MATCH(C76&amp;"|"&amp;L76,PD_TermStructure!$D$2:$D$241,0)),0))</f>
        <v>0.109872</v>
      </c>
      <c r="N76" s="22" t="n">
        <f aca="false">(1+E76/100)^(-(L76/12)/2)</f>
        <v>0.952942943868137</v>
      </c>
      <c r="O76" s="32" t="n">
        <f aca="false">IF(H76&lt;=0,0,M76*Assumptions!$B$3*H76*N76)</f>
        <v>20549.3262202001</v>
      </c>
      <c r="P76" s="25" t="n">
        <v>20549.33</v>
      </c>
      <c r="Q76" s="32" t="n">
        <f aca="false">O76-P76</f>
        <v>-0.00377979991026223</v>
      </c>
    </row>
    <row r="77" customFormat="false" ht="15" hidden="false" customHeight="false" outlineLevel="0" collapsed="false">
      <c r="A77" s="14" t="s">
        <v>245</v>
      </c>
      <c r="B77" s="14" t="n">
        <v>1</v>
      </c>
      <c r="C77" s="14" t="s">
        <v>154</v>
      </c>
      <c r="D77" s="14" t="n">
        <v>38</v>
      </c>
      <c r="E77" s="14" t="n">
        <v>11.42</v>
      </c>
      <c r="F77" s="31" t="n">
        <v>0.023</v>
      </c>
      <c r="G77" s="31" t="n">
        <v>0.5926</v>
      </c>
      <c r="H77" s="25" t="n">
        <v>695349.57</v>
      </c>
      <c r="I77" s="25" t="n">
        <v>9477.48</v>
      </c>
      <c r="J77" s="32" t="n">
        <f aca="false">F77*G77*H77</f>
        <v>9477.475569186</v>
      </c>
      <c r="K77" s="32" t="n">
        <f aca="false">J77-I77</f>
        <v>-0.00443081400044321</v>
      </c>
      <c r="L77" s="28" t="n">
        <f aca="false">IF(B77=1,12,IF(B77=2,MIN(MAX(D77,1),60),6))</f>
        <v>12</v>
      </c>
      <c r="M77" s="11" t="n">
        <f aca="false">IF(B77=3,1,IFERROR(INDEX(PD_TermStructure!$C$2:$C$241,MATCH(C77&amp;"|"&amp;L77,PD_TermStructure!$D$2:$D$241,0)),0))</f>
        <v>0.109872</v>
      </c>
      <c r="N77" s="22" t="n">
        <f aca="false">(1+E77/100)^(-(L77/12)/2)</f>
        <v>0.947367371338674</v>
      </c>
      <c r="O77" s="32" t="n">
        <f aca="false">IF(H77&lt;=0,0,M77*Assumptions!$B$3*H77*N77)</f>
        <v>30016.7158841113</v>
      </c>
      <c r="P77" s="25" t="n">
        <v>30016.72</v>
      </c>
      <c r="Q77" s="32" t="n">
        <f aca="false">O77-P77</f>
        <v>-0.00411588869974366</v>
      </c>
    </row>
    <row r="78" customFormat="false" ht="15" hidden="false" customHeight="false" outlineLevel="0" collapsed="false">
      <c r="A78" s="14" t="s">
        <v>246</v>
      </c>
      <c r="B78" s="14" t="n">
        <v>1</v>
      </c>
      <c r="C78" s="14" t="s">
        <v>154</v>
      </c>
      <c r="D78" s="14" t="n">
        <v>34</v>
      </c>
      <c r="E78" s="14" t="n">
        <v>11.78</v>
      </c>
      <c r="F78" s="31" t="n">
        <v>0.019</v>
      </c>
      <c r="G78" s="31" t="n">
        <v>0.3914</v>
      </c>
      <c r="H78" s="25" t="n">
        <v>594984.46</v>
      </c>
      <c r="I78" s="25" t="n">
        <v>4424.66</v>
      </c>
      <c r="J78" s="32" t="n">
        <f aca="false">F78*G78*H78</f>
        <v>4424.661435236</v>
      </c>
      <c r="K78" s="32" t="n">
        <f aca="false">J78-I78</f>
        <v>0.00143523600036133</v>
      </c>
      <c r="L78" s="28" t="n">
        <f aca="false">IF(B78=1,12,IF(B78=2,MIN(MAX(D78,1),60),6))</f>
        <v>12</v>
      </c>
      <c r="M78" s="11" t="n">
        <f aca="false">IF(B78=3,1,IFERROR(INDEX(PD_TermStructure!$C$2:$C$241,MATCH(C78&amp;"|"&amp;L78,PD_TermStructure!$D$2:$D$241,0)),0))</f>
        <v>0.109872</v>
      </c>
      <c r="N78" s="22" t="n">
        <f aca="false">(1+E78/100)^(-(L78/12)/2)</f>
        <v>0.945840589731943</v>
      </c>
      <c r="O78" s="32" t="n">
        <f aca="false">IF(H78&lt;=0,0,M78*Assumptions!$B$3*H78*N78)</f>
        <v>25642.7814748026</v>
      </c>
      <c r="P78" s="25" t="n">
        <v>25642.78</v>
      </c>
      <c r="Q78" s="32" t="n">
        <f aca="false">O78-P78</f>
        <v>0.00147480262967292</v>
      </c>
    </row>
    <row r="79" customFormat="false" ht="15" hidden="false" customHeight="false" outlineLevel="0" collapsed="false">
      <c r="A79" s="14" t="s">
        <v>247</v>
      </c>
      <c r="B79" s="14" t="n">
        <v>1</v>
      </c>
      <c r="C79" s="14" t="s">
        <v>154</v>
      </c>
      <c r="D79" s="14" t="n">
        <v>23</v>
      </c>
      <c r="E79" s="14" t="n">
        <v>10.89</v>
      </c>
      <c r="F79" s="31" t="n">
        <v>0.016</v>
      </c>
      <c r="G79" s="31" t="n">
        <v>0.4872</v>
      </c>
      <c r="H79" s="25" t="n">
        <v>1374334.94</v>
      </c>
      <c r="I79" s="25" t="n">
        <v>10713.22</v>
      </c>
      <c r="J79" s="32" t="n">
        <f aca="false">F79*G79*H79</f>
        <v>10713.215724288</v>
      </c>
      <c r="K79" s="32" t="n">
        <f aca="false">J79-I79</f>
        <v>-0.00427571199907106</v>
      </c>
      <c r="L79" s="28" t="n">
        <f aca="false">IF(B79=1,12,IF(B79=2,MIN(MAX(D79,1),60),6))</f>
        <v>12</v>
      </c>
      <c r="M79" s="11" t="n">
        <f aca="false">IF(B79=3,1,IFERROR(INDEX(PD_TermStructure!$C$2:$C$241,MATCH(C79&amp;"|"&amp;L79,PD_TermStructure!$D$2:$D$241,0)),0))</f>
        <v>0.109872</v>
      </c>
      <c r="N79" s="22" t="n">
        <f aca="false">(1+E79/100)^(-(L79/12)/2)</f>
        <v>0.949628649102733</v>
      </c>
      <c r="O79" s="32" t="n">
        <f aca="false">IF(H79&lt;=0,0,M79*Assumptions!$B$3*H79*N79)</f>
        <v>59468.6332331868</v>
      </c>
      <c r="P79" s="25" t="n">
        <v>59468.63</v>
      </c>
      <c r="Q79" s="32" t="n">
        <f aca="false">O79-P79</f>
        <v>0.00323318684240803</v>
      </c>
    </row>
    <row r="80" customFormat="false" ht="15" hidden="false" customHeight="false" outlineLevel="0" collapsed="false">
      <c r="A80" s="14" t="s">
        <v>248</v>
      </c>
      <c r="B80" s="14" t="n">
        <v>1</v>
      </c>
      <c r="C80" s="14" t="s">
        <v>154</v>
      </c>
      <c r="D80" s="14" t="n">
        <v>15</v>
      </c>
      <c r="E80" s="14" t="n">
        <v>12.65</v>
      </c>
      <c r="F80" s="31" t="n">
        <v>0.0234</v>
      </c>
      <c r="G80" s="31" t="n">
        <v>0.5941</v>
      </c>
      <c r="H80" s="25" t="n">
        <v>931434.9</v>
      </c>
      <c r="I80" s="25" t="n">
        <v>12948.75</v>
      </c>
      <c r="J80" s="32" t="n">
        <f aca="false">F80*G80*H80</f>
        <v>12948.752093706</v>
      </c>
      <c r="K80" s="32" t="n">
        <f aca="false">J80-I80</f>
        <v>0.00209370599986869</v>
      </c>
      <c r="L80" s="28" t="n">
        <f aca="false">IF(B80=1,12,IF(B80=2,MIN(MAX(D80,1),60),6))</f>
        <v>12</v>
      </c>
      <c r="M80" s="11" t="n">
        <f aca="false">IF(B80=3,1,IFERROR(INDEX(PD_TermStructure!$C$2:$C$241,MATCH(C80&amp;"|"&amp;L80,PD_TermStructure!$D$2:$D$241,0)),0))</f>
        <v>0.109872</v>
      </c>
      <c r="N80" s="22" t="n">
        <f aca="false">(1+E80/100)^(-(L80/12)/2)</f>
        <v>0.942181130062807</v>
      </c>
      <c r="O80" s="32" t="n">
        <f aca="false">IF(H80&lt;=0,0,M80*Assumptions!$B$3*H80*N80)</f>
        <v>39987.8882403086</v>
      </c>
      <c r="P80" s="25" t="n">
        <v>39987.89</v>
      </c>
      <c r="Q80" s="32" t="n">
        <f aca="false">O80-P80</f>
        <v>-0.00175969135307241</v>
      </c>
    </row>
    <row r="81" customFormat="false" ht="15" hidden="false" customHeight="false" outlineLevel="0" collapsed="false">
      <c r="A81" s="14" t="s">
        <v>249</v>
      </c>
      <c r="B81" s="14" t="n">
        <v>1</v>
      </c>
      <c r="C81" s="14" t="s">
        <v>155</v>
      </c>
      <c r="D81" s="14" t="n">
        <v>10</v>
      </c>
      <c r="E81" s="14" t="n">
        <v>8.45</v>
      </c>
      <c r="F81" s="31" t="n">
        <v>0.0149</v>
      </c>
      <c r="G81" s="31" t="n">
        <v>0.5884</v>
      </c>
      <c r="H81" s="25" t="n">
        <v>436522.6</v>
      </c>
      <c r="I81" s="25" t="n">
        <v>3827.06</v>
      </c>
      <c r="J81" s="32" t="n">
        <f aca="false">F81*G81*H81</f>
        <v>3827.063477816</v>
      </c>
      <c r="K81" s="32" t="n">
        <f aca="false">J81-I81</f>
        <v>0.00347781600021335</v>
      </c>
      <c r="L81" s="28" t="n">
        <f aca="false">IF(B81=1,12,IF(B81=2,MIN(MAX(D81,1),60),6))</f>
        <v>12</v>
      </c>
      <c r="M81" s="11" t="n">
        <f aca="false">IF(B81=3,1,IFERROR(INDEX(PD_TermStructure!$C$2:$C$241,MATCH(C81&amp;"|"&amp;L81,PD_TermStructure!$D$2:$D$241,0)),0))</f>
        <v>0.164153</v>
      </c>
      <c r="N81" s="22" t="n">
        <f aca="false">(1+E81/100)^(-(L81/12)/2)</f>
        <v>0.960252003192796</v>
      </c>
      <c r="O81" s="32" t="n">
        <f aca="false">IF(H81&lt;=0,0,M81*Assumptions!$B$3*H81*N81)</f>
        <v>28536.1454766454</v>
      </c>
      <c r="P81" s="25" t="n">
        <v>28536.15</v>
      </c>
      <c r="Q81" s="32" t="n">
        <f aca="false">O81-P81</f>
        <v>-0.00452335457885056</v>
      </c>
    </row>
    <row r="82" customFormat="false" ht="15" hidden="false" customHeight="false" outlineLevel="0" collapsed="false">
      <c r="A82" s="14" t="s">
        <v>250</v>
      </c>
      <c r="B82" s="14" t="n">
        <v>1</v>
      </c>
      <c r="C82" s="14" t="s">
        <v>154</v>
      </c>
      <c r="D82" s="14" t="n">
        <v>47</v>
      </c>
      <c r="E82" s="14" t="n">
        <v>13.45</v>
      </c>
      <c r="F82" s="31" t="n">
        <v>0.0215</v>
      </c>
      <c r="G82" s="31" t="n">
        <v>0.601</v>
      </c>
      <c r="H82" s="25" t="n">
        <v>590086.59</v>
      </c>
      <c r="I82" s="25" t="n">
        <v>7624.8</v>
      </c>
      <c r="J82" s="32" t="n">
        <f aca="false">F82*G82*H82</f>
        <v>7624.803872685</v>
      </c>
      <c r="K82" s="32" t="n">
        <f aca="false">J82-I82</f>
        <v>0.00387268499889615</v>
      </c>
      <c r="L82" s="28" t="n">
        <f aca="false">IF(B82=1,12,IF(B82=2,MIN(MAX(D82,1),60),6))</f>
        <v>12</v>
      </c>
      <c r="M82" s="11" t="n">
        <f aca="false">IF(B82=3,1,IFERROR(INDEX(PD_TermStructure!$C$2:$C$241,MATCH(C82&amp;"|"&amp;L82,PD_TermStructure!$D$2:$D$241,0)),0))</f>
        <v>0.109872</v>
      </c>
      <c r="N82" s="22" t="n">
        <f aca="false">(1+E82/100)^(-(L82/12)/2)</f>
        <v>0.938853327594895</v>
      </c>
      <c r="O82" s="32" t="n">
        <f aca="false">IF(H82&lt;=0,0,M82*Assumptions!$B$3*H82*N82)</f>
        <v>25243.81892283</v>
      </c>
      <c r="P82" s="25" t="n">
        <v>25243.82</v>
      </c>
      <c r="Q82" s="32" t="n">
        <f aca="false">O82-P82</f>
        <v>-0.0010771700181067</v>
      </c>
    </row>
    <row r="83" customFormat="false" ht="15" hidden="false" customHeight="false" outlineLevel="0" collapsed="false">
      <c r="A83" s="14" t="s">
        <v>251</v>
      </c>
      <c r="B83" s="14" t="n">
        <v>1</v>
      </c>
      <c r="C83" s="14" t="s">
        <v>154</v>
      </c>
      <c r="D83" s="14" t="n">
        <v>0</v>
      </c>
      <c r="E83" s="14" t="n">
        <v>10.1</v>
      </c>
      <c r="F83" s="31" t="n">
        <v>0.0141</v>
      </c>
      <c r="G83" s="31" t="n">
        <v>0.4531</v>
      </c>
      <c r="H83" s="25" t="n">
        <v>0</v>
      </c>
      <c r="I83" s="25" t="n">
        <v>0</v>
      </c>
      <c r="J83" s="32" t="n">
        <f aca="false">F83*G83*H83</f>
        <v>0</v>
      </c>
      <c r="K83" s="32" t="n">
        <f aca="false">J83-I83</f>
        <v>0</v>
      </c>
      <c r="L83" s="28" t="n">
        <f aca="false">IF(B83=1,12,IF(B83=2,MIN(MAX(D83,1),60),6))</f>
        <v>12</v>
      </c>
      <c r="M83" s="11" t="n">
        <f aca="false">IF(B83=3,1,IFERROR(INDEX(PD_TermStructure!$C$2:$C$241,MATCH(C83&amp;"|"&amp;L83,PD_TermStructure!$D$2:$D$241,0)),0))</f>
        <v>0.109872</v>
      </c>
      <c r="N83" s="22" t="n">
        <f aca="false">(1+E83/100)^(-(L83/12)/2)</f>
        <v>0.953029492430494</v>
      </c>
      <c r="O83" s="32" t="n">
        <f aca="false">IF(H83&lt;=0,0,M83*Assumptions!$B$3*H83*N83)</f>
        <v>0</v>
      </c>
      <c r="P83" s="25" t="n">
        <v>0</v>
      </c>
      <c r="Q83" s="32" t="n">
        <f aca="false">O83-P83</f>
        <v>0</v>
      </c>
    </row>
    <row r="84" customFormat="false" ht="15" hidden="false" customHeight="false" outlineLevel="0" collapsed="false">
      <c r="A84" s="14" t="s">
        <v>252</v>
      </c>
      <c r="B84" s="14" t="n">
        <v>1</v>
      </c>
      <c r="C84" s="14" t="s">
        <v>154</v>
      </c>
      <c r="D84" s="14" t="n">
        <v>9</v>
      </c>
      <c r="E84" s="14" t="n">
        <v>11.99</v>
      </c>
      <c r="F84" s="31" t="n">
        <v>0.0182</v>
      </c>
      <c r="G84" s="31" t="n">
        <v>0.4788</v>
      </c>
      <c r="H84" s="25" t="n">
        <v>198873.14</v>
      </c>
      <c r="I84" s="25" t="n">
        <v>1733.01</v>
      </c>
      <c r="J84" s="32" t="n">
        <f aca="false">F84*G84*H84</f>
        <v>1733.0123616624</v>
      </c>
      <c r="K84" s="32" t="n">
        <f aca="false">J84-I84</f>
        <v>0.00236166240028979</v>
      </c>
      <c r="L84" s="28" t="n">
        <f aca="false">IF(B84=1,12,IF(B84=2,MIN(MAX(D84,1),60),6))</f>
        <v>12</v>
      </c>
      <c r="M84" s="11" t="n">
        <f aca="false">IF(B84=3,1,IFERROR(INDEX(PD_TermStructure!$C$2:$C$241,MATCH(C84&amp;"|"&amp;L84,PD_TermStructure!$D$2:$D$241,0)),0))</f>
        <v>0.109872</v>
      </c>
      <c r="N84" s="22" t="n">
        <f aca="false">(1+E84/100)^(-(L84/12)/2)</f>
        <v>0.944953368883003</v>
      </c>
      <c r="O84" s="32" t="n">
        <f aca="false">IF(H84&lt;=0,0,M84*Assumptions!$B$3*H84*N84)</f>
        <v>8563.04191216015</v>
      </c>
      <c r="P84" s="25" t="n">
        <v>8563.04</v>
      </c>
      <c r="Q84" s="32" t="n">
        <f aca="false">O84-P84</f>
        <v>0.00191216015082318</v>
      </c>
    </row>
    <row r="85" customFormat="false" ht="15" hidden="false" customHeight="false" outlineLevel="0" collapsed="false">
      <c r="A85" s="14" t="s">
        <v>253</v>
      </c>
      <c r="B85" s="14" t="n">
        <v>2</v>
      </c>
      <c r="C85" s="14" t="s">
        <v>156</v>
      </c>
      <c r="D85" s="14" t="n">
        <v>0</v>
      </c>
      <c r="E85" s="14" t="n">
        <v>12.99</v>
      </c>
      <c r="F85" s="31" t="n">
        <v>0.0852</v>
      </c>
      <c r="G85" s="31" t="n">
        <v>0.3703</v>
      </c>
      <c r="H85" s="25" t="n">
        <v>0</v>
      </c>
      <c r="I85" s="25" t="n">
        <v>0</v>
      </c>
      <c r="J85" s="32" t="n">
        <f aca="false">F85*G85*H85</f>
        <v>0</v>
      </c>
      <c r="K85" s="32" t="n">
        <f aca="false">J85-I85</f>
        <v>0</v>
      </c>
      <c r="L85" s="28" t="n">
        <f aca="false">IF(B85=1,12,IF(B85=2,MIN(MAX(D85,1),60),6))</f>
        <v>1</v>
      </c>
      <c r="M85" s="11" t="n">
        <f aca="false">IF(B85=3,1,IFERROR(INDEX(PD_TermStructure!$C$2:$C$241,MATCH(C85&amp;"|"&amp;L85,PD_TermStructure!$D$2:$D$241,0)),0))</f>
        <v>0</v>
      </c>
      <c r="N85" s="22" t="n">
        <f aca="false">(1+E85/100)^(-(L85/12)/2)</f>
        <v>0.994924211685652</v>
      </c>
      <c r="O85" s="32" t="n">
        <f aca="false">IF(H85&lt;=0,0,M85*Assumptions!$B$3*H85*N85)</f>
        <v>0</v>
      </c>
      <c r="P85" s="25" t="n">
        <v>0</v>
      </c>
      <c r="Q85" s="32" t="n">
        <f aca="false">O85-P85</f>
        <v>0</v>
      </c>
    </row>
    <row r="86" customFormat="false" ht="15" hidden="false" customHeight="false" outlineLevel="0" collapsed="false">
      <c r="A86" s="14" t="s">
        <v>254</v>
      </c>
      <c r="B86" s="14" t="n">
        <v>1</v>
      </c>
      <c r="C86" s="14" t="s">
        <v>154</v>
      </c>
      <c r="D86" s="14" t="n">
        <v>43</v>
      </c>
      <c r="E86" s="14" t="n">
        <v>8.05</v>
      </c>
      <c r="F86" s="31" t="n">
        <v>0.0177</v>
      </c>
      <c r="G86" s="31" t="n">
        <v>0.5725</v>
      </c>
      <c r="H86" s="25" t="n">
        <v>741152.75</v>
      </c>
      <c r="I86" s="25" t="n">
        <v>7510.29</v>
      </c>
      <c r="J86" s="32" t="n">
        <f aca="false">F86*G86*H86</f>
        <v>7510.2861039375</v>
      </c>
      <c r="K86" s="32" t="n">
        <f aca="false">J86-I86</f>
        <v>-0.0038960624997344</v>
      </c>
      <c r="L86" s="28" t="n">
        <f aca="false">IF(B86=1,12,IF(B86=2,MIN(MAX(D86,1),60),6))</f>
        <v>12</v>
      </c>
      <c r="M86" s="11" t="n">
        <f aca="false">IF(B86=3,1,IFERROR(INDEX(PD_TermStructure!$C$2:$C$241,MATCH(C86&amp;"|"&amp;L86,PD_TermStructure!$D$2:$D$241,0)),0))</f>
        <v>0.109872</v>
      </c>
      <c r="N86" s="22" t="n">
        <f aca="false">(1+E86/100)^(-(L86/12)/2)</f>
        <v>0.962027782801515</v>
      </c>
      <c r="O86" s="32" t="n">
        <f aca="false">IF(H86&lt;=0,0,M86*Assumptions!$B$3*H86*N86)</f>
        <v>32489.0415797383</v>
      </c>
      <c r="P86" s="25" t="n">
        <v>32489.04</v>
      </c>
      <c r="Q86" s="32" t="n">
        <f aca="false">O86-P86</f>
        <v>0.00157973826571833</v>
      </c>
    </row>
    <row r="87" customFormat="false" ht="15" hidden="false" customHeight="false" outlineLevel="0" collapsed="false">
      <c r="A87" s="14" t="s">
        <v>255</v>
      </c>
      <c r="B87" s="14" t="n">
        <v>1</v>
      </c>
      <c r="C87" s="14" t="s">
        <v>154</v>
      </c>
      <c r="D87" s="14" t="n">
        <v>14</v>
      </c>
      <c r="E87" s="14" t="n">
        <v>12.9</v>
      </c>
      <c r="F87" s="31" t="n">
        <v>0.0167</v>
      </c>
      <c r="G87" s="31" t="n">
        <v>0.5026</v>
      </c>
      <c r="H87" s="25" t="n">
        <v>526756.39</v>
      </c>
      <c r="I87" s="25" t="n">
        <v>4421.29</v>
      </c>
      <c r="J87" s="32" t="n">
        <f aca="false">F87*G87*H87</f>
        <v>4421.2876189538</v>
      </c>
      <c r="K87" s="32" t="n">
        <f aca="false">J87-I87</f>
        <v>-0.0023810461998437</v>
      </c>
      <c r="L87" s="28" t="n">
        <f aca="false">IF(B87=1,12,IF(B87=2,MIN(MAX(D87,1),60),6))</f>
        <v>12</v>
      </c>
      <c r="M87" s="11" t="n">
        <f aca="false">IF(B87=3,1,IFERROR(INDEX(PD_TermStructure!$C$2:$C$241,MATCH(C87&amp;"|"&amp;L87,PD_TermStructure!$D$2:$D$241,0)),0))</f>
        <v>0.109872</v>
      </c>
      <c r="N87" s="22" t="n">
        <f aca="false">(1+E87/100)^(-(L87/12)/2)</f>
        <v>0.941137393030257</v>
      </c>
      <c r="O87" s="32" t="n">
        <f aca="false">IF(H87&lt;=0,0,M87*Assumptions!$B$3*H87*N87)</f>
        <v>22589.3847682262</v>
      </c>
      <c r="P87" s="25" t="n">
        <v>22589.38</v>
      </c>
      <c r="Q87" s="32" t="n">
        <f aca="false">O87-P87</f>
        <v>0.00476822623386397</v>
      </c>
    </row>
    <row r="88" customFormat="false" ht="15" hidden="false" customHeight="false" outlineLevel="0" collapsed="false">
      <c r="A88" s="14" t="s">
        <v>256</v>
      </c>
      <c r="B88" s="14" t="n">
        <v>2</v>
      </c>
      <c r="C88" s="14" t="s">
        <v>156</v>
      </c>
      <c r="D88" s="14" t="n">
        <v>17</v>
      </c>
      <c r="E88" s="14" t="n">
        <v>13.28</v>
      </c>
      <c r="F88" s="31" t="n">
        <v>0.1174</v>
      </c>
      <c r="G88" s="31" t="n">
        <v>0.5275</v>
      </c>
      <c r="H88" s="25" t="n">
        <v>288469.26</v>
      </c>
      <c r="I88" s="25" t="n">
        <v>17864.47</v>
      </c>
      <c r="J88" s="32" t="n">
        <f aca="false">F88*G88*H88</f>
        <v>17864.46856791</v>
      </c>
      <c r="K88" s="32" t="n">
        <f aca="false">J88-I88</f>
        <v>-0.00143209000088973</v>
      </c>
      <c r="L88" s="28" t="n">
        <f aca="false">IF(B88=1,12,IF(B88=2,MIN(MAX(D88,1),60),6))</f>
        <v>17</v>
      </c>
      <c r="M88" s="11" t="n">
        <f aca="false">IF(B88=3,1,IFERROR(INDEX(PD_TermStructure!$C$2:$C$241,MATCH(C88&amp;"|"&amp;L88,PD_TermStructure!$D$2:$D$241,0)),0))</f>
        <v>0.998758</v>
      </c>
      <c r="N88" s="22" t="n">
        <f aca="false">(1+E88/100)^(-(L88/12)/2)</f>
        <v>0.915464388106839</v>
      </c>
      <c r="O88" s="32" t="n">
        <f aca="false">IF(H88&lt;=0,0,M88*Assumptions!$B$3*H88*N88)</f>
        <v>109384.502866232</v>
      </c>
      <c r="P88" s="25" t="n">
        <v>109384.5</v>
      </c>
      <c r="Q88" s="32" t="n">
        <f aca="false">O88-P88</f>
        <v>0.00286623155989219</v>
      </c>
    </row>
    <row r="89" customFormat="false" ht="15" hidden="false" customHeight="false" outlineLevel="0" collapsed="false">
      <c r="A89" s="14" t="s">
        <v>257</v>
      </c>
      <c r="B89" s="14" t="n">
        <v>1</v>
      </c>
      <c r="C89" s="14" t="s">
        <v>154</v>
      </c>
      <c r="D89" s="14" t="n">
        <v>54</v>
      </c>
      <c r="E89" s="14" t="n">
        <v>13.44</v>
      </c>
      <c r="F89" s="31" t="n">
        <v>0.0201</v>
      </c>
      <c r="G89" s="31" t="n">
        <v>0.5412</v>
      </c>
      <c r="H89" s="25" t="n">
        <v>536663.94</v>
      </c>
      <c r="I89" s="25" t="n">
        <v>5837.89</v>
      </c>
      <c r="J89" s="32" t="n">
        <f aca="false">F89*G89*H89</f>
        <v>5837.8947389928</v>
      </c>
      <c r="K89" s="32" t="n">
        <f aca="false">J89-I89</f>
        <v>0.00473899279859324</v>
      </c>
      <c r="L89" s="28" t="n">
        <f aca="false">IF(B89=1,12,IF(B89=2,MIN(MAX(D89,1),60),6))</f>
        <v>12</v>
      </c>
      <c r="M89" s="11" t="n">
        <f aca="false">IF(B89=3,1,IFERROR(INDEX(PD_TermStructure!$C$2:$C$241,MATCH(C89&amp;"|"&amp;L89,PD_TermStructure!$D$2:$D$241,0)),0))</f>
        <v>0.109872</v>
      </c>
      <c r="N89" s="22" t="n">
        <f aca="false">(1+E89/100)^(-(L89/12)/2)</f>
        <v>0.93889470773585</v>
      </c>
      <c r="O89" s="32" t="n">
        <f aca="false">IF(H89&lt;=0,0,M89*Assumptions!$B$3*H89*N89)</f>
        <v>22959.4175833049</v>
      </c>
      <c r="P89" s="25" t="n">
        <v>22959.42</v>
      </c>
      <c r="Q89" s="32" t="n">
        <f aca="false">O89-P89</f>
        <v>-0.00241669505703612</v>
      </c>
    </row>
    <row r="90" customFormat="false" ht="15" hidden="false" customHeight="false" outlineLevel="0" collapsed="false">
      <c r="A90" s="14" t="s">
        <v>258</v>
      </c>
      <c r="B90" s="14" t="n">
        <v>1</v>
      </c>
      <c r="C90" s="14" t="s">
        <v>154</v>
      </c>
      <c r="D90" s="14" t="n">
        <v>12</v>
      </c>
      <c r="E90" s="14" t="n">
        <v>14.1</v>
      </c>
      <c r="F90" s="31" t="n">
        <v>0.0239</v>
      </c>
      <c r="G90" s="31" t="n">
        <v>0.5591</v>
      </c>
      <c r="H90" s="25" t="n">
        <v>354552.4</v>
      </c>
      <c r="I90" s="25" t="n">
        <v>4737.7</v>
      </c>
      <c r="J90" s="32" t="n">
        <f aca="false">F90*G90*H90</f>
        <v>4737.702899476</v>
      </c>
      <c r="K90" s="32" t="n">
        <f aca="false">J90-I90</f>
        <v>0.00289947600049345</v>
      </c>
      <c r="L90" s="28" t="n">
        <f aca="false">IF(B90=1,12,IF(B90=2,MIN(MAX(D90,1),60),6))</f>
        <v>12</v>
      </c>
      <c r="M90" s="11" t="n">
        <f aca="false">IF(B90=3,1,IFERROR(INDEX(PD_TermStructure!$C$2:$C$241,MATCH(C90&amp;"|"&amp;L90,PD_TermStructure!$D$2:$D$241,0)),0))</f>
        <v>0.109872</v>
      </c>
      <c r="N90" s="22" t="n">
        <f aca="false">(1+E90/100)^(-(L90/12)/2)</f>
        <v>0.936175298385738</v>
      </c>
      <c r="O90" s="32" t="n">
        <f aca="false">IF(H90&lt;=0,0,M90*Assumptions!$B$3*H90*N90)</f>
        <v>15124.4353021617</v>
      </c>
      <c r="P90" s="25" t="n">
        <v>15124.44</v>
      </c>
      <c r="Q90" s="32" t="n">
        <f aca="false">O90-P90</f>
        <v>-0.00469783825428749</v>
      </c>
    </row>
    <row r="91" customFormat="false" ht="15" hidden="false" customHeight="false" outlineLevel="0" collapsed="false">
      <c r="A91" s="14" t="s">
        <v>259</v>
      </c>
      <c r="B91" s="14" t="n">
        <v>1</v>
      </c>
      <c r="C91" s="14" t="s">
        <v>154</v>
      </c>
      <c r="D91" s="14" t="n">
        <v>30</v>
      </c>
      <c r="E91" s="14" t="n">
        <v>11.39</v>
      </c>
      <c r="F91" s="31" t="n">
        <v>0.026</v>
      </c>
      <c r="G91" s="31" t="n">
        <v>0.4093</v>
      </c>
      <c r="H91" s="25" t="n">
        <v>201836.31</v>
      </c>
      <c r="I91" s="25" t="n">
        <v>2147.9</v>
      </c>
      <c r="J91" s="32" t="n">
        <f aca="false">F91*G91*H91</f>
        <v>2147.901643758</v>
      </c>
      <c r="K91" s="32" t="n">
        <f aca="false">J91-I91</f>
        <v>0.00164375799977279</v>
      </c>
      <c r="L91" s="28" t="n">
        <f aca="false">IF(B91=1,12,IF(B91=2,MIN(MAX(D91,1),60),6))</f>
        <v>12</v>
      </c>
      <c r="M91" s="11" t="n">
        <f aca="false">IF(B91=3,1,IFERROR(INDEX(PD_TermStructure!$C$2:$C$241,MATCH(C91&amp;"|"&amp;L91,PD_TermStructure!$D$2:$D$241,0)),0))</f>
        <v>0.109872</v>
      </c>
      <c r="N91" s="22" t="n">
        <f aca="false">(1+E91/100)^(-(L91/12)/2)</f>
        <v>0.947494937133548</v>
      </c>
      <c r="O91" s="32" t="n">
        <f aca="false">IF(H91&lt;=0,0,M91*Assumptions!$B$3*H91*N91)</f>
        <v>8714.0040400127</v>
      </c>
      <c r="P91" s="25" t="n">
        <v>8714</v>
      </c>
      <c r="Q91" s="32" t="n">
        <f aca="false">O91-P91</f>
        <v>0.00404001269998844</v>
      </c>
    </row>
    <row r="92" customFormat="false" ht="15" hidden="false" customHeight="false" outlineLevel="0" collapsed="false">
      <c r="A92" s="14" t="s">
        <v>260</v>
      </c>
      <c r="B92" s="14" t="n">
        <v>1</v>
      </c>
      <c r="C92" s="14" t="s">
        <v>154</v>
      </c>
      <c r="D92" s="14" t="n">
        <v>53</v>
      </c>
      <c r="E92" s="14" t="n">
        <v>9</v>
      </c>
      <c r="F92" s="31" t="n">
        <v>0.0216</v>
      </c>
      <c r="G92" s="31" t="n">
        <v>0.5907</v>
      </c>
      <c r="H92" s="25" t="n">
        <v>431132.88</v>
      </c>
      <c r="I92" s="25" t="n">
        <v>5500.88</v>
      </c>
      <c r="J92" s="32" t="n">
        <f aca="false">F92*G92*H92</f>
        <v>5500.8761518656</v>
      </c>
      <c r="K92" s="32" t="n">
        <f aca="false">J92-I92</f>
        <v>-0.00384813439995924</v>
      </c>
      <c r="L92" s="28" t="n">
        <f aca="false">IF(B92=1,12,IF(B92=2,MIN(MAX(D92,1),60),6))</f>
        <v>12</v>
      </c>
      <c r="M92" s="11" t="n">
        <f aca="false">IF(B92=3,1,IFERROR(INDEX(PD_TermStructure!$C$2:$C$241,MATCH(C92&amp;"|"&amp;L92,PD_TermStructure!$D$2:$D$241,0)),0))</f>
        <v>0.109872</v>
      </c>
      <c r="N92" s="22" t="n">
        <f aca="false">(1+E92/100)^(-(L92/12)/2)</f>
        <v>0.957826285221151</v>
      </c>
      <c r="O92" s="32" t="n">
        <f aca="false">IF(H92&lt;=0,0,M92*Assumptions!$B$3*H92*N92)</f>
        <v>18816.5265431993</v>
      </c>
      <c r="P92" s="25" t="n">
        <v>18816.53</v>
      </c>
      <c r="Q92" s="32" t="n">
        <f aca="false">O92-P92</f>
        <v>-0.00345680073223775</v>
      </c>
    </row>
    <row r="93" customFormat="false" ht="15" hidden="false" customHeight="false" outlineLevel="0" collapsed="false">
      <c r="A93" s="14" t="s">
        <v>261</v>
      </c>
      <c r="B93" s="14" t="n">
        <v>1</v>
      </c>
      <c r="C93" s="14" t="s">
        <v>154</v>
      </c>
      <c r="D93" s="14" t="n">
        <v>14</v>
      </c>
      <c r="E93" s="14" t="n">
        <v>13.77</v>
      </c>
      <c r="F93" s="31" t="n">
        <v>0.0252</v>
      </c>
      <c r="G93" s="31" t="n">
        <v>0.6475</v>
      </c>
      <c r="H93" s="25" t="n">
        <v>205207.89</v>
      </c>
      <c r="I93" s="25" t="n">
        <v>3348.38</v>
      </c>
      <c r="J93" s="32" t="n">
        <f aca="false">F93*G93*H93</f>
        <v>3348.37714113</v>
      </c>
      <c r="K93" s="32" t="n">
        <f aca="false">J93-I93</f>
        <v>-0.00285887000018192</v>
      </c>
      <c r="L93" s="28" t="n">
        <f aca="false">IF(B93=1,12,IF(B93=2,MIN(MAX(D93,1),60),6))</f>
        <v>12</v>
      </c>
      <c r="M93" s="11" t="n">
        <f aca="false">IF(B93=3,1,IFERROR(INDEX(PD_TermStructure!$C$2:$C$241,MATCH(C93&amp;"|"&amp;L93,PD_TermStructure!$D$2:$D$241,0)),0))</f>
        <v>0.109872</v>
      </c>
      <c r="N93" s="22" t="n">
        <f aca="false">(1+E93/100)^(-(L93/12)/2)</f>
        <v>0.937532045099978</v>
      </c>
      <c r="O93" s="32" t="n">
        <f aca="false">IF(H93&lt;=0,0,M93*Assumptions!$B$3*H93*N93)</f>
        <v>8766.40916230053</v>
      </c>
      <c r="P93" s="25" t="n">
        <v>8766.41</v>
      </c>
      <c r="Q93" s="32" t="n">
        <f aca="false">O93-P93</f>
        <v>-0.000837699471958331</v>
      </c>
    </row>
    <row r="94" customFormat="false" ht="15" hidden="false" customHeight="false" outlineLevel="0" collapsed="false">
      <c r="A94" s="14" t="s">
        <v>262</v>
      </c>
      <c r="B94" s="14" t="n">
        <v>2</v>
      </c>
      <c r="C94" s="14" t="s">
        <v>157</v>
      </c>
      <c r="D94" s="14" t="n">
        <v>50</v>
      </c>
      <c r="E94" s="14" t="n">
        <v>11.29</v>
      </c>
      <c r="F94" s="31" t="n">
        <v>0.1449</v>
      </c>
      <c r="G94" s="31" t="n">
        <v>0.6082</v>
      </c>
      <c r="H94" s="25" t="n">
        <v>1055028.85</v>
      </c>
      <c r="I94" s="25" t="n">
        <v>92977.77</v>
      </c>
      <c r="J94" s="32" t="n">
        <f aca="false">F94*G94*H94</f>
        <v>92977.772397993</v>
      </c>
      <c r="K94" s="32" t="n">
        <f aca="false">J94-I94</f>
        <v>0.00239799299743027</v>
      </c>
      <c r="L94" s="28" t="n">
        <f aca="false">IF(B94=1,12,IF(B94=2,MIN(MAX(D94,1),60),6))</f>
        <v>50</v>
      </c>
      <c r="M94" s="11" t="n">
        <f aca="false">IF(B94=3,1,IFERROR(INDEX(PD_TermStructure!$C$2:$C$241,MATCH(C94&amp;"|"&amp;L94,PD_TermStructure!$D$2:$D$241,0)),0))</f>
        <v>1</v>
      </c>
      <c r="N94" s="22" t="n">
        <f aca="false">(1+E94/100)^(-(L94/12)/2)</f>
        <v>0.800232839933412</v>
      </c>
      <c r="O94" s="32" t="n">
        <f aca="false">IF(H94&lt;=0,0,M94*Assumptions!$B$3*H94*N94)</f>
        <v>350134.767111775</v>
      </c>
      <c r="P94" s="25" t="n">
        <v>350134.77</v>
      </c>
      <c r="Q94" s="32" t="n">
        <f aca="false">O94-P94</f>
        <v>-0.00288822525180876</v>
      </c>
    </row>
    <row r="95" customFormat="false" ht="15" hidden="false" customHeight="false" outlineLevel="0" collapsed="false">
      <c r="A95" s="14" t="s">
        <v>263</v>
      </c>
      <c r="B95" s="14" t="n">
        <v>1</v>
      </c>
      <c r="C95" s="14" t="s">
        <v>154</v>
      </c>
      <c r="D95" s="14" t="n">
        <v>36</v>
      </c>
      <c r="E95" s="14" t="n">
        <v>8.72</v>
      </c>
      <c r="F95" s="31" t="n">
        <v>0.0162</v>
      </c>
      <c r="G95" s="31" t="n">
        <v>0.4455</v>
      </c>
      <c r="H95" s="25" t="n">
        <v>1794905.45</v>
      </c>
      <c r="I95" s="25" t="n">
        <v>12954.01</v>
      </c>
      <c r="J95" s="32" t="n">
        <f aca="false">F95*G95*H95</f>
        <v>12954.012123195</v>
      </c>
      <c r="K95" s="32" t="n">
        <f aca="false">J95-I95</f>
        <v>0.00212319499951263</v>
      </c>
      <c r="L95" s="28" t="n">
        <f aca="false">IF(B95=1,12,IF(B95=2,MIN(MAX(D95,1),60),6))</f>
        <v>12</v>
      </c>
      <c r="M95" s="11" t="n">
        <f aca="false">IF(B95=3,1,IFERROR(INDEX(PD_TermStructure!$C$2:$C$241,MATCH(C95&amp;"|"&amp;L95,PD_TermStructure!$D$2:$D$241,0)),0))</f>
        <v>0.109872</v>
      </c>
      <c r="N95" s="22" t="n">
        <f aca="false">(1+E95/100)^(-(L95/12)/2)</f>
        <v>0.959058896080727</v>
      </c>
      <c r="O95" s="32" t="n">
        <f aca="false">IF(H95&lt;=0,0,M95*Assumptions!$B$3*H95*N95)</f>
        <v>78438.3438807671</v>
      </c>
      <c r="P95" s="25" t="n">
        <v>78438.34</v>
      </c>
      <c r="Q95" s="32" t="n">
        <f aca="false">O95-P95</f>
        <v>0.00388076706440188</v>
      </c>
    </row>
    <row r="96" customFormat="false" ht="15" hidden="false" customHeight="false" outlineLevel="0" collapsed="false">
      <c r="A96" s="14" t="s">
        <v>264</v>
      </c>
      <c r="B96" s="14" t="n">
        <v>1</v>
      </c>
      <c r="C96" s="14" t="s">
        <v>154</v>
      </c>
      <c r="D96" s="14" t="n">
        <v>20</v>
      </c>
      <c r="E96" s="14" t="n">
        <v>10.63</v>
      </c>
      <c r="F96" s="31" t="n">
        <v>0.0235</v>
      </c>
      <c r="G96" s="31" t="n">
        <v>0.5234</v>
      </c>
      <c r="H96" s="25" t="n">
        <v>454281.44</v>
      </c>
      <c r="I96" s="25" t="n">
        <v>5587.62</v>
      </c>
      <c r="J96" s="32" t="n">
        <f aca="false">F96*G96*H96</f>
        <v>5587.616283856</v>
      </c>
      <c r="K96" s="32" t="n">
        <f aca="false">J96-I96</f>
        <v>-0.00371614400046383</v>
      </c>
      <c r="L96" s="28" t="n">
        <f aca="false">IF(B96=1,12,IF(B96=2,MIN(MAX(D96,1),60),6))</f>
        <v>12</v>
      </c>
      <c r="M96" s="11" t="n">
        <f aca="false">IF(B96=3,1,IFERROR(INDEX(PD_TermStructure!$C$2:$C$241,MATCH(C96&amp;"|"&amp;L96,PD_TermStructure!$D$2:$D$241,0)),0))</f>
        <v>0.109872</v>
      </c>
      <c r="N96" s="22" t="n">
        <f aca="false">(1+E96/100)^(-(L96/12)/2)</f>
        <v>0.950743891588165</v>
      </c>
      <c r="O96" s="32" t="n">
        <f aca="false">IF(H96&lt;=0,0,M96*Assumptions!$B$3*H96*N96)</f>
        <v>19680.2267859651</v>
      </c>
      <c r="P96" s="25" t="n">
        <v>19680.23</v>
      </c>
      <c r="Q96" s="32" t="n">
        <f aca="false">O96-P96</f>
        <v>-0.00321403493944672</v>
      </c>
    </row>
    <row r="97" customFormat="false" ht="15" hidden="false" customHeight="false" outlineLevel="0" collapsed="false">
      <c r="A97" s="14" t="s">
        <v>265</v>
      </c>
      <c r="B97" s="14" t="n">
        <v>1</v>
      </c>
      <c r="C97" s="14" t="s">
        <v>154</v>
      </c>
      <c r="D97" s="14" t="n">
        <v>0</v>
      </c>
      <c r="E97" s="14" t="n">
        <v>9.87</v>
      </c>
      <c r="F97" s="31" t="n">
        <v>0.0219</v>
      </c>
      <c r="G97" s="31" t="n">
        <v>0.4392</v>
      </c>
      <c r="H97" s="25" t="n">
        <v>0</v>
      </c>
      <c r="I97" s="25" t="n">
        <v>0</v>
      </c>
      <c r="J97" s="32" t="n">
        <f aca="false">F97*G97*H97</f>
        <v>0</v>
      </c>
      <c r="K97" s="32" t="n">
        <f aca="false">J97-I97</f>
        <v>0</v>
      </c>
      <c r="L97" s="28" t="n">
        <f aca="false">IF(B97=1,12,IF(B97=2,MIN(MAX(D97,1),60),6))</f>
        <v>12</v>
      </c>
      <c r="M97" s="11" t="n">
        <f aca="false">IF(B97=3,1,IFERROR(INDEX(PD_TermStructure!$C$2:$C$241,MATCH(C97&amp;"|"&amp;L97,PD_TermStructure!$D$2:$D$241,0)),0))</f>
        <v>0.109872</v>
      </c>
      <c r="N97" s="22" t="n">
        <f aca="false">(1+E97/100)^(-(L97/12)/2)</f>
        <v>0.954026498835629</v>
      </c>
      <c r="O97" s="32" t="n">
        <f aca="false">IF(H97&lt;=0,0,M97*Assumptions!$B$3*H97*N97)</f>
        <v>0</v>
      </c>
      <c r="P97" s="25" t="n">
        <v>0</v>
      </c>
      <c r="Q97" s="32" t="n">
        <f aca="false">O97-P97</f>
        <v>0</v>
      </c>
    </row>
    <row r="98" customFormat="false" ht="15" hidden="false" customHeight="false" outlineLevel="0" collapsed="false">
      <c r="A98" s="14" t="s">
        <v>266</v>
      </c>
      <c r="B98" s="14" t="n">
        <v>1</v>
      </c>
      <c r="C98" s="14" t="s">
        <v>154</v>
      </c>
      <c r="D98" s="14" t="n">
        <v>8</v>
      </c>
      <c r="E98" s="14" t="n">
        <v>11.97</v>
      </c>
      <c r="F98" s="31" t="n">
        <v>0.0167</v>
      </c>
      <c r="G98" s="31" t="n">
        <v>0.4306</v>
      </c>
      <c r="H98" s="25" t="n">
        <v>142683.15</v>
      </c>
      <c r="I98" s="25" t="n">
        <v>1026.04</v>
      </c>
      <c r="J98" s="32" t="n">
        <f aca="false">F98*G98*H98</f>
        <v>1026.037385313</v>
      </c>
      <c r="K98" s="32" t="n">
        <f aca="false">J98-I98</f>
        <v>-0.00261468700000478</v>
      </c>
      <c r="L98" s="28" t="n">
        <f aca="false">IF(B98=1,12,IF(B98=2,MIN(MAX(D98,1),60),6))</f>
        <v>12</v>
      </c>
      <c r="M98" s="11" t="n">
        <f aca="false">IF(B98=3,1,IFERROR(INDEX(PD_TermStructure!$C$2:$C$241,MATCH(C98&amp;"|"&amp;L98,PD_TermStructure!$D$2:$D$241,0)),0))</f>
        <v>0.109872</v>
      </c>
      <c r="N98" s="22" t="n">
        <f aca="false">(1+E98/100)^(-(L98/12)/2)</f>
        <v>0.945037758556659</v>
      </c>
      <c r="O98" s="32" t="n">
        <f aca="false">IF(H98&lt;=0,0,M98*Assumptions!$B$3*H98*N98)</f>
        <v>6144.17264901066</v>
      </c>
      <c r="P98" s="25" t="n">
        <v>6144.17</v>
      </c>
      <c r="Q98" s="32" t="n">
        <f aca="false">O98-P98</f>
        <v>0.00264901066384482</v>
      </c>
    </row>
    <row r="99" customFormat="false" ht="15" hidden="false" customHeight="false" outlineLevel="0" collapsed="false">
      <c r="A99" s="14" t="s">
        <v>267</v>
      </c>
      <c r="B99" s="14" t="n">
        <v>3</v>
      </c>
      <c r="C99" s="14" t="s">
        <v>189</v>
      </c>
      <c r="D99" s="14" t="n">
        <v>78</v>
      </c>
      <c r="E99" s="14" t="n">
        <v>13.67</v>
      </c>
      <c r="F99" s="31" t="n">
        <v>1</v>
      </c>
      <c r="G99" s="31" t="n">
        <v>0.4274</v>
      </c>
      <c r="H99" s="25" t="n">
        <v>652646.25</v>
      </c>
      <c r="I99" s="25" t="n">
        <v>278941.01</v>
      </c>
      <c r="J99" s="32" t="n">
        <f aca="false">F99*G99*H99</f>
        <v>278941.00725</v>
      </c>
      <c r="K99" s="32" t="n">
        <f aca="false">J99-I99</f>
        <v>-0.00274999998509884</v>
      </c>
      <c r="L99" s="28" t="n">
        <f aca="false">IF(B99=1,12,IF(B99=2,MIN(MAX(D99,1),60),6))</f>
        <v>6</v>
      </c>
      <c r="M99" s="11" t="n">
        <f aca="false">IF(B99=3,1,IFERROR(INDEX(PD_TermStructure!$C$2:$C$241,MATCH(C99&amp;"|"&amp;L99,PD_TermStructure!$D$2:$D$241,0)),0))</f>
        <v>1</v>
      </c>
      <c r="N99" s="22" t="n">
        <f aca="false">(1+E99/100)^(-(L99/12)/2)</f>
        <v>0.968475268900685</v>
      </c>
      <c r="O99" s="32" t="n">
        <f aca="false">IF(H99&lt;=0,0,M99*Assumptions!$B$3*H99*N99)</f>
        <v>262132.526335775</v>
      </c>
      <c r="P99" s="25" t="n">
        <v>262132.53</v>
      </c>
      <c r="Q99" s="32" t="n">
        <f aca="false">O99-P99</f>
        <v>-0.00366422533988953</v>
      </c>
    </row>
    <row r="100" customFormat="false" ht="15" hidden="false" customHeight="false" outlineLevel="0" collapsed="false">
      <c r="A100" s="14" t="s">
        <v>268</v>
      </c>
      <c r="B100" s="14" t="n">
        <v>2</v>
      </c>
      <c r="C100" s="14" t="s">
        <v>156</v>
      </c>
      <c r="D100" s="14" t="n">
        <v>57</v>
      </c>
      <c r="E100" s="14" t="n">
        <v>12.97</v>
      </c>
      <c r="F100" s="31" t="n">
        <v>0.0868</v>
      </c>
      <c r="G100" s="31" t="n">
        <v>0.6169</v>
      </c>
      <c r="H100" s="25" t="n">
        <v>527234.77</v>
      </c>
      <c r="I100" s="25" t="n">
        <v>28231.8</v>
      </c>
      <c r="J100" s="32" t="n">
        <f aca="false">F100*G100*H100</f>
        <v>28231.7980504084</v>
      </c>
      <c r="K100" s="32" t="n">
        <f aca="false">J100-I100</f>
        <v>-0.00194959159489372</v>
      </c>
      <c r="L100" s="28" t="n">
        <f aca="false">IF(B100=1,12,IF(B100=2,MIN(MAX(D100,1),60),6))</f>
        <v>57</v>
      </c>
      <c r="M100" s="11" t="n">
        <f aca="false">IF(B100=3,1,IFERROR(INDEX(PD_TermStructure!$C$2:$C$241,MATCH(C100&amp;"|"&amp;L100,PD_TermStructure!$D$2:$D$241,0)),0))</f>
        <v>1</v>
      </c>
      <c r="N100" s="22" t="n">
        <f aca="false">(1+E100/100)^(-(L100/12)/2)</f>
        <v>0.748535788204488</v>
      </c>
      <c r="O100" s="32" t="n">
        <f aca="false">IF(H100&lt;=0,0,M100*Assumptions!$B$3*H100*N100)</f>
        <v>163670.77680608</v>
      </c>
      <c r="P100" s="25" t="n">
        <v>163670.78</v>
      </c>
      <c r="Q100" s="32" t="n">
        <f aca="false">O100-P100</f>
        <v>-0.00319392044912092</v>
      </c>
    </row>
    <row r="101" customFormat="false" ht="15" hidden="false" customHeight="false" outlineLevel="0" collapsed="false">
      <c r="A101" s="14" t="s">
        <v>269</v>
      </c>
      <c r="B101" s="14" t="n">
        <v>2</v>
      </c>
      <c r="C101" s="14" t="s">
        <v>157</v>
      </c>
      <c r="D101" s="14" t="n">
        <v>35</v>
      </c>
      <c r="E101" s="14" t="n">
        <v>14.32</v>
      </c>
      <c r="F101" s="31" t="n">
        <v>0.1402</v>
      </c>
      <c r="G101" s="31" t="n">
        <v>0.5073</v>
      </c>
      <c r="H101" s="25" t="n">
        <v>463899.79</v>
      </c>
      <c r="I101" s="25" t="n">
        <v>32994.16</v>
      </c>
      <c r="J101" s="32" t="n">
        <f aca="false">F101*G101*H101</f>
        <v>32994.1581580734</v>
      </c>
      <c r="K101" s="32" t="n">
        <f aca="false">J101-I101</f>
        <v>-0.00184192661254201</v>
      </c>
      <c r="L101" s="28" t="n">
        <f aca="false">IF(B101=1,12,IF(B101=2,MIN(MAX(D101,1),60),6))</f>
        <v>35</v>
      </c>
      <c r="M101" s="11" t="n">
        <f aca="false">IF(B101=3,1,IFERROR(INDEX(PD_TermStructure!$C$2:$C$241,MATCH(C101&amp;"|"&amp;L101,PD_TermStructure!$D$2:$D$241,0)),0))</f>
        <v>1</v>
      </c>
      <c r="N101" s="22" t="n">
        <f aca="false">(1+E101/100)^(-(L101/12)/2)</f>
        <v>0.822694199580982</v>
      </c>
      <c r="O101" s="32" t="n">
        <f aca="false">IF(H101&lt;=0,0,M101*Assumptions!$B$3*H101*N101)</f>
        <v>158276.756679143</v>
      </c>
      <c r="P101" s="25" t="n">
        <v>158276.76</v>
      </c>
      <c r="Q101" s="32" t="n">
        <f aca="false">O101-P101</f>
        <v>-0.00332085732952692</v>
      </c>
    </row>
    <row r="102" customFormat="false" ht="15" hidden="false" customHeight="false" outlineLevel="0" collapsed="false">
      <c r="A102" s="14" t="s">
        <v>270</v>
      </c>
      <c r="B102" s="14" t="n">
        <v>1</v>
      </c>
      <c r="C102" s="14" t="s">
        <v>154</v>
      </c>
      <c r="D102" s="14" t="n">
        <v>57</v>
      </c>
      <c r="E102" s="14" t="n">
        <v>11.95</v>
      </c>
      <c r="F102" s="31" t="n">
        <v>0.0243</v>
      </c>
      <c r="G102" s="31" t="n">
        <v>0.5442</v>
      </c>
      <c r="H102" s="25" t="n">
        <v>1028983.6</v>
      </c>
      <c r="I102" s="25" t="n">
        <v>13607.34</v>
      </c>
      <c r="J102" s="32" t="n">
        <f aca="false">F102*G102*H102</f>
        <v>13607.340865416</v>
      </c>
      <c r="K102" s="32" t="n">
        <f aca="false">J102-I102</f>
        <v>0.000865415999214747</v>
      </c>
      <c r="L102" s="28" t="n">
        <f aca="false">IF(B102=1,12,IF(B102=2,MIN(MAX(D102,1),60),6))</f>
        <v>12</v>
      </c>
      <c r="M102" s="11" t="n">
        <f aca="false">IF(B102=3,1,IFERROR(INDEX(PD_TermStructure!$C$2:$C$241,MATCH(C102&amp;"|"&amp;L102,PD_TermStructure!$D$2:$D$241,0)),0))</f>
        <v>0.109872</v>
      </c>
      <c r="N102" s="22" t="n">
        <f aca="false">(1+E102/100)^(-(L102/12)/2)</f>
        <v>0.945122170843778</v>
      </c>
      <c r="O102" s="32" t="n">
        <f aca="false">IF(H102&lt;=0,0,M102*Assumptions!$B$3*H102*N102)</f>
        <v>44313.6951010745</v>
      </c>
      <c r="P102" s="25" t="n">
        <v>44313.7</v>
      </c>
      <c r="Q102" s="32" t="n">
        <f aca="false">O102-P102</f>
        <v>-0.00489892548648641</v>
      </c>
    </row>
    <row r="103" customFormat="false" ht="15" hidden="false" customHeight="false" outlineLevel="0" collapsed="false">
      <c r="A103" s="14" t="s">
        <v>271</v>
      </c>
      <c r="B103" s="14" t="n">
        <v>1</v>
      </c>
      <c r="C103" s="14" t="s">
        <v>154</v>
      </c>
      <c r="D103" s="14" t="n">
        <v>23</v>
      </c>
      <c r="E103" s="14" t="n">
        <v>12.49</v>
      </c>
      <c r="F103" s="31" t="n">
        <v>0.0207</v>
      </c>
      <c r="G103" s="31" t="n">
        <v>0.5281</v>
      </c>
      <c r="H103" s="25" t="n">
        <v>328760.1</v>
      </c>
      <c r="I103" s="25" t="n">
        <v>3593.9</v>
      </c>
      <c r="J103" s="32" t="n">
        <f aca="false">F103*G103*H103</f>
        <v>3593.896922367</v>
      </c>
      <c r="K103" s="32" t="n">
        <f aca="false">J103-I103</f>
        <v>-0.00307763300043007</v>
      </c>
      <c r="L103" s="28" t="n">
        <f aca="false">IF(B103=1,12,IF(B103=2,MIN(MAX(D103,1),60),6))</f>
        <v>12</v>
      </c>
      <c r="M103" s="11" t="n">
        <f aca="false">IF(B103=3,1,IFERROR(INDEX(PD_TermStructure!$C$2:$C$241,MATCH(C103&amp;"|"&amp;L103,PD_TermStructure!$D$2:$D$241,0)),0))</f>
        <v>0.109872</v>
      </c>
      <c r="N103" s="22" t="n">
        <f aca="false">(1+E103/100)^(-(L103/12)/2)</f>
        <v>0.942850946999849</v>
      </c>
      <c r="O103" s="32" t="n">
        <f aca="false">IF(H103&lt;=0,0,M103*Assumptions!$B$3*H103*N103)</f>
        <v>14124.1950590636</v>
      </c>
      <c r="P103" s="25" t="n">
        <v>14124.2</v>
      </c>
      <c r="Q103" s="32" t="n">
        <f aca="false">O103-P103</f>
        <v>-0.0049409364364692</v>
      </c>
    </row>
    <row r="104" customFormat="false" ht="15" hidden="false" customHeight="false" outlineLevel="0" collapsed="false">
      <c r="A104" s="14" t="s">
        <v>272</v>
      </c>
      <c r="B104" s="14" t="n">
        <v>1</v>
      </c>
      <c r="C104" s="14" t="s">
        <v>154</v>
      </c>
      <c r="D104" s="14" t="n">
        <v>20</v>
      </c>
      <c r="E104" s="14" t="n">
        <v>12.55</v>
      </c>
      <c r="F104" s="31" t="n">
        <v>0.0241</v>
      </c>
      <c r="G104" s="31" t="n">
        <v>0.6129</v>
      </c>
      <c r="H104" s="25" t="n">
        <v>260778.14</v>
      </c>
      <c r="I104" s="25" t="n">
        <v>3851.93</v>
      </c>
      <c r="J104" s="32" t="n">
        <f aca="false">F104*G104*H104</f>
        <v>3851.9252203446</v>
      </c>
      <c r="K104" s="32" t="n">
        <f aca="false">J104-I104</f>
        <v>-0.00477965539948855</v>
      </c>
      <c r="L104" s="28" t="n">
        <f aca="false">IF(B104=1,12,IF(B104=2,MIN(MAX(D104,1),60),6))</f>
        <v>12</v>
      </c>
      <c r="M104" s="11" t="n">
        <f aca="false">IF(B104=3,1,IFERROR(INDEX(PD_TermStructure!$C$2:$C$241,MATCH(C104&amp;"|"&amp;L104,PD_TermStructure!$D$2:$D$241,0)),0))</f>
        <v>0.109872</v>
      </c>
      <c r="N104" s="22" t="n">
        <f aca="false">(1+E104/100)^(-(L104/12)/2)</f>
        <v>0.942599598273563</v>
      </c>
      <c r="O104" s="32" t="n">
        <f aca="false">IF(H104&lt;=0,0,M104*Assumptions!$B$3*H104*N104)</f>
        <v>11200.5666551755</v>
      </c>
      <c r="P104" s="25" t="n">
        <v>11200.57</v>
      </c>
      <c r="Q104" s="32" t="n">
        <f aca="false">O104-P104</f>
        <v>-0.00334482448852214</v>
      </c>
    </row>
    <row r="105" customFormat="false" ht="15" hidden="false" customHeight="false" outlineLevel="0" collapsed="false">
      <c r="A105" s="14" t="s">
        <v>273</v>
      </c>
      <c r="B105" s="14" t="n">
        <v>1</v>
      </c>
      <c r="C105" s="14" t="s">
        <v>154</v>
      </c>
      <c r="D105" s="14" t="n">
        <v>27</v>
      </c>
      <c r="E105" s="14" t="n">
        <v>10.1</v>
      </c>
      <c r="F105" s="31" t="n">
        <v>0.0156</v>
      </c>
      <c r="G105" s="31" t="n">
        <v>0.4101</v>
      </c>
      <c r="H105" s="25" t="n">
        <v>526971.33</v>
      </c>
      <c r="I105" s="25" t="n">
        <v>3371.33</v>
      </c>
      <c r="J105" s="32" t="n">
        <f aca="false">F105*G105*H105</f>
        <v>3371.3307019548</v>
      </c>
      <c r="K105" s="32" t="n">
        <f aca="false">J105-I105</f>
        <v>0.000701954799751547</v>
      </c>
      <c r="L105" s="28" t="n">
        <f aca="false">IF(B105=1,12,IF(B105=2,MIN(MAX(D105,1),60),6))</f>
        <v>12</v>
      </c>
      <c r="M105" s="11" t="n">
        <f aca="false">IF(B105=3,1,IFERROR(INDEX(PD_TermStructure!$C$2:$C$241,MATCH(C105&amp;"|"&amp;L105,PD_TermStructure!$D$2:$D$241,0)),0))</f>
        <v>0.109872</v>
      </c>
      <c r="N105" s="22" t="n">
        <f aca="false">(1+E105/100)^(-(L105/12)/2)</f>
        <v>0.953029492430494</v>
      </c>
      <c r="O105" s="32" t="n">
        <f aca="false">IF(H105&lt;=0,0,M105*Assumptions!$B$3*H105*N105)</f>
        <v>22884.155472192</v>
      </c>
      <c r="P105" s="25" t="n">
        <v>22884.16</v>
      </c>
      <c r="Q105" s="32" t="n">
        <f aca="false">O105-P105</f>
        <v>-0.00452780803971109</v>
      </c>
    </row>
    <row r="106" customFormat="false" ht="15" hidden="false" customHeight="false" outlineLevel="0" collapsed="false">
      <c r="A106" s="14" t="s">
        <v>274</v>
      </c>
      <c r="B106" s="14" t="n">
        <v>1</v>
      </c>
      <c r="C106" s="14" t="s">
        <v>154</v>
      </c>
      <c r="D106" s="14" t="n">
        <v>39</v>
      </c>
      <c r="E106" s="14" t="n">
        <v>9.41</v>
      </c>
      <c r="F106" s="31" t="n">
        <v>0.0254</v>
      </c>
      <c r="G106" s="31" t="n">
        <v>0.6176</v>
      </c>
      <c r="H106" s="25" t="n">
        <v>367452.36</v>
      </c>
      <c r="I106" s="25" t="n">
        <v>5764.24</v>
      </c>
      <c r="J106" s="32" t="n">
        <f aca="false">F106*G106*H106</f>
        <v>5764.2398694144</v>
      </c>
      <c r="K106" s="32" t="n">
        <f aca="false">J106-I106</f>
        <v>-0.000130585600345512</v>
      </c>
      <c r="L106" s="28" t="n">
        <f aca="false">IF(B106=1,12,IF(B106=2,MIN(MAX(D106,1),60),6))</f>
        <v>12</v>
      </c>
      <c r="M106" s="11" t="n">
        <f aca="false">IF(B106=3,1,IFERROR(INDEX(PD_TermStructure!$C$2:$C$241,MATCH(C106&amp;"|"&amp;L106,PD_TermStructure!$D$2:$D$241,0)),0))</f>
        <v>0.109872</v>
      </c>
      <c r="N106" s="22" t="n">
        <f aca="false">(1+E106/100)^(-(L106/12)/2)</f>
        <v>0.956029934913154</v>
      </c>
      <c r="O106" s="32" t="n">
        <f aca="false">IF(H106&lt;=0,0,M106*Assumptions!$B$3*H106*N106)</f>
        <v>16007.1528944155</v>
      </c>
      <c r="P106" s="25" t="n">
        <v>16007.15</v>
      </c>
      <c r="Q106" s="32" t="n">
        <f aca="false">O106-P106</f>
        <v>0.00289441550921765</v>
      </c>
    </row>
    <row r="107" customFormat="false" ht="15" hidden="false" customHeight="false" outlineLevel="0" collapsed="false">
      <c r="A107" s="14" t="s">
        <v>275</v>
      </c>
      <c r="B107" s="14" t="n">
        <v>3</v>
      </c>
      <c r="C107" s="14" t="s">
        <v>189</v>
      </c>
      <c r="D107" s="14" t="n">
        <v>50</v>
      </c>
      <c r="E107" s="14" t="n">
        <v>12.59</v>
      </c>
      <c r="F107" s="31" t="n">
        <v>1</v>
      </c>
      <c r="G107" s="31" t="n">
        <v>0.4267</v>
      </c>
      <c r="H107" s="25" t="n">
        <v>234223.75</v>
      </c>
      <c r="I107" s="25" t="n">
        <v>99943.27</v>
      </c>
      <c r="J107" s="32" t="n">
        <f aca="false">F107*G107*H107</f>
        <v>99943.274125</v>
      </c>
      <c r="K107" s="32" t="n">
        <f aca="false">J107-I107</f>
        <v>0.00412500000675209</v>
      </c>
      <c r="L107" s="28" t="n">
        <f aca="false">IF(B107=1,12,IF(B107=2,MIN(MAX(D107,1),60),6))</f>
        <v>6</v>
      </c>
      <c r="M107" s="11" t="n">
        <f aca="false">IF(B107=3,1,IFERROR(INDEX(PD_TermStructure!$C$2:$C$241,MATCH(C107&amp;"|"&amp;L107,PD_TermStructure!$D$2:$D$241,0)),0))</f>
        <v>1</v>
      </c>
      <c r="N107" s="22" t="n">
        <f aca="false">(1+E107/100)^(-(L107/12)/2)</f>
        <v>0.970789443746097</v>
      </c>
      <c r="O107" s="32" t="n">
        <f aca="false">IF(H107&lt;=0,0,M107*Assumptions!$B$3*H107*N107)</f>
        <v>94299.7423705239</v>
      </c>
      <c r="P107" s="25" t="n">
        <v>94299.74</v>
      </c>
      <c r="Q107" s="32" t="n">
        <f aca="false">O107-P107</f>
        <v>0.00237052388547454</v>
      </c>
    </row>
    <row r="108" customFormat="false" ht="15" hidden="false" customHeight="false" outlineLevel="0" collapsed="false">
      <c r="A108" s="14" t="s">
        <v>276</v>
      </c>
      <c r="B108" s="14" t="n">
        <v>1</v>
      </c>
      <c r="C108" s="14" t="s">
        <v>154</v>
      </c>
      <c r="D108" s="14" t="n">
        <v>43</v>
      </c>
      <c r="E108" s="14" t="n">
        <v>10.45</v>
      </c>
      <c r="F108" s="31" t="n">
        <v>0.0183</v>
      </c>
      <c r="G108" s="31" t="n">
        <v>0.4729</v>
      </c>
      <c r="H108" s="25" t="n">
        <v>840805.33</v>
      </c>
      <c r="I108" s="25" t="n">
        <v>7276.39</v>
      </c>
      <c r="J108" s="32" t="n">
        <f aca="false">F108*G108*H108</f>
        <v>7276.3881821931</v>
      </c>
      <c r="K108" s="32" t="n">
        <f aca="false">J108-I108</f>
        <v>-0.00181780690127198</v>
      </c>
      <c r="L108" s="28" t="n">
        <f aca="false">IF(B108=1,12,IF(B108=2,MIN(MAX(D108,1),60),6))</f>
        <v>12</v>
      </c>
      <c r="M108" s="11" t="n">
        <f aca="false">IF(B108=3,1,IFERROR(INDEX(PD_TermStructure!$C$2:$C$241,MATCH(C108&amp;"|"&amp;L108,PD_TermStructure!$D$2:$D$241,0)),0))</f>
        <v>0.109872</v>
      </c>
      <c r="N108" s="22" t="n">
        <f aca="false">(1+E108/100)^(-(L108/12)/2)</f>
        <v>0.951518288297783</v>
      </c>
      <c r="O108" s="32" t="n">
        <f aca="false">IF(H108&lt;=0,0,M108*Assumptions!$B$3*H108*N108)</f>
        <v>36454.752760861</v>
      </c>
      <c r="P108" s="25" t="n">
        <v>36454.75</v>
      </c>
      <c r="Q108" s="32" t="n">
        <f aca="false">O108-P108</f>
        <v>0.0027608609671006</v>
      </c>
    </row>
    <row r="109" customFormat="false" ht="15" hidden="false" customHeight="false" outlineLevel="0" collapsed="false">
      <c r="A109" s="14" t="s">
        <v>277</v>
      </c>
      <c r="B109" s="14" t="n">
        <v>1</v>
      </c>
      <c r="C109" s="14" t="s">
        <v>154</v>
      </c>
      <c r="D109" s="14" t="n">
        <v>0</v>
      </c>
      <c r="E109" s="14" t="n">
        <v>12.96</v>
      </c>
      <c r="F109" s="31" t="n">
        <v>0.0151</v>
      </c>
      <c r="G109" s="31" t="n">
        <v>0.5775</v>
      </c>
      <c r="H109" s="25" t="n">
        <v>0</v>
      </c>
      <c r="I109" s="25" t="n">
        <v>0</v>
      </c>
      <c r="J109" s="32" t="n">
        <f aca="false">F109*G109*H109</f>
        <v>0</v>
      </c>
      <c r="K109" s="32" t="n">
        <f aca="false">J109-I109</f>
        <v>0</v>
      </c>
      <c r="L109" s="28" t="n">
        <f aca="false">IF(B109=1,12,IF(B109=2,MIN(MAX(D109,1),60),6))</f>
        <v>12</v>
      </c>
      <c r="M109" s="11" t="n">
        <f aca="false">IF(B109=3,1,IFERROR(INDEX(PD_TermStructure!$C$2:$C$241,MATCH(C109&amp;"|"&amp;L109,PD_TermStructure!$D$2:$D$241,0)),0))</f>
        <v>0.109872</v>
      </c>
      <c r="N109" s="22" t="n">
        <f aca="false">(1+E109/100)^(-(L109/12)/2)</f>
        <v>0.940887411868727</v>
      </c>
      <c r="O109" s="32" t="n">
        <f aca="false">IF(H109&lt;=0,0,M109*Assumptions!$B$3*H109*N109)</f>
        <v>0</v>
      </c>
      <c r="P109" s="25" t="n">
        <v>0</v>
      </c>
      <c r="Q109" s="32" t="n">
        <f aca="false">O109-P109</f>
        <v>0</v>
      </c>
    </row>
    <row r="110" customFormat="false" ht="15" hidden="false" customHeight="false" outlineLevel="0" collapsed="false">
      <c r="A110" s="14" t="s">
        <v>278</v>
      </c>
      <c r="B110" s="14" t="n">
        <v>3</v>
      </c>
      <c r="C110" s="14" t="s">
        <v>279</v>
      </c>
      <c r="D110" s="14" t="n">
        <v>45</v>
      </c>
      <c r="E110" s="14" t="n">
        <v>9.4</v>
      </c>
      <c r="F110" s="31" t="n">
        <v>1</v>
      </c>
      <c r="G110" s="31" t="n">
        <v>0.614</v>
      </c>
      <c r="H110" s="25" t="n">
        <v>348495.81</v>
      </c>
      <c r="I110" s="25" t="n">
        <v>213976.43</v>
      </c>
      <c r="J110" s="32" t="n">
        <f aca="false">F110*G110*H110</f>
        <v>213976.42734</v>
      </c>
      <c r="K110" s="32" t="n">
        <f aca="false">J110-I110</f>
        <v>-0.00265999999828637</v>
      </c>
      <c r="L110" s="28" t="n">
        <f aca="false">IF(B110=1,12,IF(B110=2,MIN(MAX(D110,1),60),6))</f>
        <v>6</v>
      </c>
      <c r="M110" s="11" t="n">
        <f aca="false">IF(B110=3,1,IFERROR(INDEX(PD_TermStructure!$C$2:$C$241,MATCH(C110&amp;"|"&amp;L110,PD_TermStructure!$D$2:$D$241,0)),0))</f>
        <v>1</v>
      </c>
      <c r="N110" s="22" t="n">
        <f aca="false">(1+E110/100)^(-(L110/12)/2)</f>
        <v>0.977790175934001</v>
      </c>
      <c r="O110" s="32" t="n">
        <f aca="false">IF(H110&lt;=0,0,M110*Assumptions!$B$3*H110*N110)</f>
        <v>141318.090805169</v>
      </c>
      <c r="P110" s="25" t="n">
        <v>141318.09</v>
      </c>
      <c r="Q110" s="32" t="n">
        <f aca="false">O110-P110</f>
        <v>0.000805169314844534</v>
      </c>
    </row>
    <row r="111" customFormat="false" ht="15" hidden="false" customHeight="false" outlineLevel="0" collapsed="false">
      <c r="A111" s="14" t="s">
        <v>280</v>
      </c>
      <c r="B111" s="14" t="n">
        <v>1</v>
      </c>
      <c r="C111" s="14" t="s">
        <v>155</v>
      </c>
      <c r="D111" s="14" t="n">
        <v>43</v>
      </c>
      <c r="E111" s="14" t="n">
        <v>9.07</v>
      </c>
      <c r="F111" s="31" t="n">
        <v>0.023</v>
      </c>
      <c r="G111" s="31" t="n">
        <v>0.4462</v>
      </c>
      <c r="H111" s="25" t="n">
        <v>672159.36</v>
      </c>
      <c r="I111" s="25" t="n">
        <v>6898.1</v>
      </c>
      <c r="J111" s="32" t="n">
        <f aca="false">F111*G111*H111</f>
        <v>6898.102647936</v>
      </c>
      <c r="K111" s="32" t="n">
        <f aca="false">J111-I111</f>
        <v>0.00264793599944824</v>
      </c>
      <c r="L111" s="28" t="n">
        <f aca="false">IF(B111=1,12,IF(B111=2,MIN(MAX(D111,1),60),6))</f>
        <v>12</v>
      </c>
      <c r="M111" s="11" t="n">
        <f aca="false">IF(B111=3,1,IFERROR(INDEX(PD_TermStructure!$C$2:$C$241,MATCH(C111&amp;"|"&amp;L111,PD_TermStructure!$D$2:$D$241,0)),0))</f>
        <v>0.164153</v>
      </c>
      <c r="N111" s="22" t="n">
        <f aca="false">(1+E111/100)^(-(L111/12)/2)</f>
        <v>0.957518874379161</v>
      </c>
      <c r="O111" s="32" t="n">
        <f aca="false">IF(H111&lt;=0,0,M111*Assumptions!$B$3*H111*N111)</f>
        <v>43815.0134532314</v>
      </c>
      <c r="P111" s="25" t="n">
        <v>43815.01</v>
      </c>
      <c r="Q111" s="32" t="n">
        <f aca="false">O111-P111</f>
        <v>0.00345323142391862</v>
      </c>
    </row>
    <row r="112" customFormat="false" ht="15" hidden="false" customHeight="false" outlineLevel="0" collapsed="false">
      <c r="A112" s="14" t="s">
        <v>281</v>
      </c>
      <c r="B112" s="14" t="n">
        <v>3</v>
      </c>
      <c r="C112" s="14" t="s">
        <v>182</v>
      </c>
      <c r="D112" s="14" t="n">
        <v>20</v>
      </c>
      <c r="E112" s="14" t="n">
        <v>8.33</v>
      </c>
      <c r="F112" s="31" t="n">
        <v>0.8807</v>
      </c>
      <c r="G112" s="31" t="n">
        <v>0.5359</v>
      </c>
      <c r="H112" s="25" t="n">
        <v>267340.15</v>
      </c>
      <c r="I112" s="25" t="n">
        <v>126175.76</v>
      </c>
      <c r="J112" s="32" t="n">
        <f aca="false">F112*G112*H112</f>
        <v>126175.76332927</v>
      </c>
      <c r="K112" s="32" t="n">
        <f aca="false">J112-I112</f>
        <v>0.00332926952978596</v>
      </c>
      <c r="L112" s="28" t="n">
        <f aca="false">IF(B112=1,12,IF(B112=2,MIN(MAX(D112,1),60),6))</f>
        <v>6</v>
      </c>
      <c r="M112" s="11" t="n">
        <f aca="false">IF(B112=3,1,IFERROR(INDEX(PD_TermStructure!$C$2:$C$241,MATCH(C112&amp;"|"&amp;L112,PD_TermStructure!$D$2:$D$241,0)),0))</f>
        <v>1</v>
      </c>
      <c r="N112" s="22" t="n">
        <f aca="false">(1+E112/100)^(-(L112/12)/2)</f>
        <v>0.980195747915683</v>
      </c>
      <c r="O112" s="32" t="n">
        <f aca="false">IF(H112&lt;=0,0,M112*Assumptions!$B$3*H112*N112)</f>
        <v>108675.471406829</v>
      </c>
      <c r="P112" s="25" t="n">
        <v>108675.47</v>
      </c>
      <c r="Q112" s="32" t="n">
        <f aca="false">O112-P112</f>
        <v>0.00140682907658629</v>
      </c>
    </row>
    <row r="113" customFormat="false" ht="15" hidden="false" customHeight="false" outlineLevel="0" collapsed="false">
      <c r="A113" s="14" t="s">
        <v>282</v>
      </c>
      <c r="B113" s="14" t="n">
        <v>1</v>
      </c>
      <c r="C113" s="14" t="s">
        <v>154</v>
      </c>
      <c r="D113" s="14" t="n">
        <v>26</v>
      </c>
      <c r="E113" s="14" t="n">
        <v>13.25</v>
      </c>
      <c r="F113" s="31" t="n">
        <v>0.0219</v>
      </c>
      <c r="G113" s="31" t="n">
        <v>0.6369</v>
      </c>
      <c r="H113" s="25" t="n">
        <v>141022.87</v>
      </c>
      <c r="I113" s="25" t="n">
        <v>1967</v>
      </c>
      <c r="J113" s="32" t="n">
        <f aca="false">F113*G113*H113</f>
        <v>1967.0025032757</v>
      </c>
      <c r="K113" s="32" t="n">
        <f aca="false">J113-I113</f>
        <v>0.0025032756998371</v>
      </c>
      <c r="L113" s="28" t="n">
        <f aca="false">IF(B113=1,12,IF(B113=2,MIN(MAX(D113,1),60),6))</f>
        <v>12</v>
      </c>
      <c r="M113" s="11" t="n">
        <f aca="false">IF(B113=3,1,IFERROR(INDEX(PD_TermStructure!$C$2:$C$241,MATCH(C113&amp;"|"&amp;L113,PD_TermStructure!$D$2:$D$241,0)),0))</f>
        <v>0.109872</v>
      </c>
      <c r="N113" s="22" t="n">
        <f aca="false">(1+E113/100)^(-(L113/12)/2)</f>
        <v>0.939681971469879</v>
      </c>
      <c r="O113" s="32" t="n">
        <f aca="false">IF(H113&lt;=0,0,M113*Assumptions!$B$3*H113*N113)</f>
        <v>6038.26271746106</v>
      </c>
      <c r="P113" s="25" t="n">
        <v>6038.26</v>
      </c>
      <c r="Q113" s="32" t="n">
        <f aca="false">O113-P113</f>
        <v>0.00271746105863713</v>
      </c>
    </row>
    <row r="114" customFormat="false" ht="15" hidden="false" customHeight="false" outlineLevel="0" collapsed="false">
      <c r="A114" s="14" t="s">
        <v>283</v>
      </c>
      <c r="B114" s="14" t="n">
        <v>3</v>
      </c>
      <c r="C114" s="14" t="s">
        <v>182</v>
      </c>
      <c r="D114" s="14" t="n">
        <v>59</v>
      </c>
      <c r="E114" s="14" t="n">
        <v>12.1</v>
      </c>
      <c r="F114" s="31" t="n">
        <v>0.6975</v>
      </c>
      <c r="G114" s="31" t="n">
        <v>0.5373</v>
      </c>
      <c r="H114" s="25" t="n">
        <v>862276.58</v>
      </c>
      <c r="I114" s="25" t="n">
        <v>323152.59</v>
      </c>
      <c r="J114" s="32" t="n">
        <f aca="false">F114*G114*H114</f>
        <v>323152.591487715</v>
      </c>
      <c r="K114" s="32" t="n">
        <f aca="false">J114-I114</f>
        <v>0.00148771493695676</v>
      </c>
      <c r="L114" s="28" t="n">
        <f aca="false">IF(B114=1,12,IF(B114=2,MIN(MAX(D114,1),60),6))</f>
        <v>6</v>
      </c>
      <c r="M114" s="11" t="n">
        <f aca="false">IF(B114=3,1,IFERROR(INDEX(PD_TermStructure!$C$2:$C$241,MATCH(C114&amp;"|"&amp;L114,PD_TermStructure!$D$2:$D$241,0)),0))</f>
        <v>1</v>
      </c>
      <c r="N114" s="22" t="n">
        <f aca="false">(1+E114/100)^(-(L114/12)/2)</f>
        <v>0.971848563019333</v>
      </c>
      <c r="O114" s="32" t="n">
        <f aca="false">IF(H114&lt;=0,0,M114*Assumptions!$B$3*H114*N114)</f>
        <v>347535.936186425</v>
      </c>
      <c r="P114" s="25" t="n">
        <v>347535.94</v>
      </c>
      <c r="Q114" s="32" t="n">
        <f aca="false">O114-P114</f>
        <v>-0.00381357461446896</v>
      </c>
    </row>
    <row r="115" customFormat="false" ht="15" hidden="false" customHeight="false" outlineLevel="0" collapsed="false">
      <c r="A115" s="14" t="s">
        <v>284</v>
      </c>
      <c r="B115" s="14" t="n">
        <v>1</v>
      </c>
      <c r="C115" s="14" t="s">
        <v>154</v>
      </c>
      <c r="D115" s="14" t="n">
        <v>69</v>
      </c>
      <c r="E115" s="14" t="n">
        <v>12.22</v>
      </c>
      <c r="F115" s="31" t="n">
        <v>0.0223</v>
      </c>
      <c r="G115" s="31" t="n">
        <v>0.4385</v>
      </c>
      <c r="H115" s="25" t="n">
        <v>1009926.39</v>
      </c>
      <c r="I115" s="25" t="n">
        <v>9875.62</v>
      </c>
      <c r="J115" s="32" t="n">
        <f aca="false">F115*G115*H115</f>
        <v>9875.6157009345</v>
      </c>
      <c r="K115" s="32" t="n">
        <f aca="false">J115-I115</f>
        <v>-0.00429906550016312</v>
      </c>
      <c r="L115" s="28" t="n">
        <f aca="false">IF(B115=1,12,IF(B115=2,MIN(MAX(D115,1),60),6))</f>
        <v>12</v>
      </c>
      <c r="M115" s="11" t="n">
        <f aca="false">IF(B115=3,1,IFERROR(INDEX(PD_TermStructure!$C$2:$C$241,MATCH(C115&amp;"|"&amp;L115,PD_TermStructure!$D$2:$D$241,0)),0))</f>
        <v>0.109872</v>
      </c>
      <c r="N115" s="22" t="n">
        <f aca="false">(1+E115/100)^(-(L115/12)/2)</f>
        <v>0.943984509718883</v>
      </c>
      <c r="O115" s="32" t="n">
        <f aca="false">IF(H115&lt;=0,0,M115*Assumptions!$B$3*H115*N115)</f>
        <v>43440.6334724467</v>
      </c>
      <c r="P115" s="25" t="n">
        <v>43440.63</v>
      </c>
      <c r="Q115" s="32" t="n">
        <f aca="false">O115-P115</f>
        <v>0.00347244668228086</v>
      </c>
    </row>
    <row r="116" customFormat="false" ht="15" hidden="false" customHeight="false" outlineLevel="0" collapsed="false">
      <c r="A116" s="14" t="s">
        <v>285</v>
      </c>
      <c r="B116" s="14" t="n">
        <v>1</v>
      </c>
      <c r="C116" s="14" t="s">
        <v>154</v>
      </c>
      <c r="D116" s="14" t="n">
        <v>64</v>
      </c>
      <c r="E116" s="14" t="n">
        <v>10.21</v>
      </c>
      <c r="F116" s="31" t="n">
        <v>0.0162</v>
      </c>
      <c r="G116" s="31" t="n">
        <v>0.4021</v>
      </c>
      <c r="H116" s="25" t="n">
        <v>1566466.03</v>
      </c>
      <c r="I116" s="25" t="n">
        <v>10203.99</v>
      </c>
      <c r="J116" s="32" t="n">
        <f aca="false">F116*G116*H116</f>
        <v>10203.9910487406</v>
      </c>
      <c r="K116" s="32" t="n">
        <f aca="false">J116-I116</f>
        <v>0.0010487405997992</v>
      </c>
      <c r="L116" s="28" t="n">
        <f aca="false">IF(B116=1,12,IF(B116=2,MIN(MAX(D116,1),60),6))</f>
        <v>12</v>
      </c>
      <c r="M116" s="11" t="n">
        <f aca="false">IF(B116=3,1,IFERROR(INDEX(PD_TermStructure!$C$2:$C$241,MATCH(C116&amp;"|"&amp;L116,PD_TermStructure!$D$2:$D$241,0)),0))</f>
        <v>0.109872</v>
      </c>
      <c r="N116" s="22" t="n">
        <f aca="false">(1+E116/100)^(-(L116/12)/2)</f>
        <v>0.952553766926447</v>
      </c>
      <c r="O116" s="32" t="n">
        <f aca="false">IF(H116&lt;=0,0,M116*Assumptions!$B$3*H116*N116)</f>
        <v>67991.0958968047</v>
      </c>
      <c r="P116" s="25" t="n">
        <v>67991.1</v>
      </c>
      <c r="Q116" s="32" t="n">
        <f aca="false">O116-P116</f>
        <v>-0.0041031953151105</v>
      </c>
    </row>
    <row r="117" customFormat="false" ht="15" hidden="false" customHeight="false" outlineLevel="0" collapsed="false">
      <c r="A117" s="14" t="s">
        <v>286</v>
      </c>
      <c r="B117" s="14" t="n">
        <v>1</v>
      </c>
      <c r="C117" s="14" t="s">
        <v>154</v>
      </c>
      <c r="D117" s="14" t="n">
        <v>56</v>
      </c>
      <c r="E117" s="14" t="n">
        <v>7.86</v>
      </c>
      <c r="F117" s="31" t="n">
        <v>0.0182</v>
      </c>
      <c r="G117" s="31" t="n">
        <v>0.615</v>
      </c>
      <c r="H117" s="25" t="n">
        <v>434608.74</v>
      </c>
      <c r="I117" s="25" t="n">
        <v>4864.58</v>
      </c>
      <c r="J117" s="32" t="n">
        <f aca="false">F117*G117*H117</f>
        <v>4864.57562682</v>
      </c>
      <c r="K117" s="32" t="n">
        <f aca="false">J117-I117</f>
        <v>-0.0043731799996749</v>
      </c>
      <c r="L117" s="28" t="n">
        <f aca="false">IF(B117=1,12,IF(B117=2,MIN(MAX(D117,1),60),6))</f>
        <v>12</v>
      </c>
      <c r="M117" s="11" t="n">
        <f aca="false">IF(B117=3,1,IFERROR(INDEX(PD_TermStructure!$C$2:$C$241,MATCH(C117&amp;"|"&amp;L117,PD_TermStructure!$D$2:$D$241,0)),0))</f>
        <v>0.109872</v>
      </c>
      <c r="N117" s="22" t="n">
        <f aca="false">(1+E117/100)^(-(L117/12)/2)</f>
        <v>0.96287473650786</v>
      </c>
      <c r="O117" s="32" t="n">
        <f aca="false">IF(H117&lt;=0,0,M117*Assumptions!$B$3*H117*N117)</f>
        <v>19068.2048516367</v>
      </c>
      <c r="P117" s="25" t="n">
        <v>19068.2</v>
      </c>
      <c r="Q117" s="32" t="n">
        <f aca="false">O117-P117</f>
        <v>0.00485163666962762</v>
      </c>
    </row>
    <row r="118" customFormat="false" ht="15" hidden="false" customHeight="false" outlineLevel="0" collapsed="false">
      <c r="A118" s="14" t="s">
        <v>287</v>
      </c>
      <c r="B118" s="14" t="n">
        <v>1</v>
      </c>
      <c r="C118" s="14" t="s">
        <v>154</v>
      </c>
      <c r="D118" s="14" t="n">
        <v>82</v>
      </c>
      <c r="E118" s="14" t="n">
        <v>9.21</v>
      </c>
      <c r="F118" s="31" t="n">
        <v>0.0257</v>
      </c>
      <c r="G118" s="31" t="n">
        <v>0.582</v>
      </c>
      <c r="H118" s="25" t="n">
        <v>1085137.94</v>
      </c>
      <c r="I118" s="25" t="n">
        <v>16230.84</v>
      </c>
      <c r="J118" s="32" t="n">
        <f aca="false">F118*G118*H118</f>
        <v>16230.842223756</v>
      </c>
      <c r="K118" s="32" t="n">
        <f aca="false">J118-I118</f>
        <v>0.00222375599878433</v>
      </c>
      <c r="L118" s="28" t="n">
        <f aca="false">IF(B118=1,12,IF(B118=2,MIN(MAX(D118,1),60),6))</f>
        <v>12</v>
      </c>
      <c r="M118" s="11" t="n">
        <f aca="false">IF(B118=3,1,IFERROR(INDEX(PD_TermStructure!$C$2:$C$241,MATCH(C118&amp;"|"&amp;L118,PD_TermStructure!$D$2:$D$241,0)),0))</f>
        <v>0.109872</v>
      </c>
      <c r="N118" s="22" t="n">
        <f aca="false">(1+E118/100)^(-(L118/12)/2)</f>
        <v>0.956904939612983</v>
      </c>
      <c r="O118" s="32" t="n">
        <f aca="false">IF(H118&lt;=0,0,M118*Assumptions!$B$3*H118*N118)</f>
        <v>47314.6144722269</v>
      </c>
      <c r="P118" s="25" t="n">
        <v>47314.61</v>
      </c>
      <c r="Q118" s="32" t="n">
        <f aca="false">O118-P118</f>
        <v>0.00447222690854687</v>
      </c>
    </row>
    <row r="119" customFormat="false" ht="15" hidden="false" customHeight="false" outlineLevel="0" collapsed="false">
      <c r="A119" s="14" t="s">
        <v>288</v>
      </c>
      <c r="B119" s="14" t="n">
        <v>2</v>
      </c>
      <c r="C119" s="14" t="s">
        <v>157</v>
      </c>
      <c r="D119" s="14" t="n">
        <v>40</v>
      </c>
      <c r="E119" s="14" t="n">
        <v>12.52</v>
      </c>
      <c r="F119" s="31" t="n">
        <v>0.1384</v>
      </c>
      <c r="G119" s="31" t="n">
        <v>0.5257</v>
      </c>
      <c r="H119" s="25" t="n">
        <v>335388.68</v>
      </c>
      <c r="I119" s="25" t="n">
        <v>24401.83</v>
      </c>
      <c r="J119" s="32" t="n">
        <f aca="false">F119*G119*H119</f>
        <v>24401.8339441184</v>
      </c>
      <c r="K119" s="32" t="n">
        <f aca="false">J119-I119</f>
        <v>0.00394411839806708</v>
      </c>
      <c r="L119" s="28" t="n">
        <f aca="false">IF(B119=1,12,IF(B119=2,MIN(MAX(D119,1),60),6))</f>
        <v>40</v>
      </c>
      <c r="M119" s="11" t="n">
        <f aca="false">IF(B119=3,1,IFERROR(INDEX(PD_TermStructure!$C$2:$C$241,MATCH(C119&amp;"|"&amp;L119,PD_TermStructure!$D$2:$D$241,0)),0))</f>
        <v>1</v>
      </c>
      <c r="N119" s="22" t="n">
        <f aca="false">(1+E119/100)^(-(L119/12)/2)</f>
        <v>0.821518083151939</v>
      </c>
      <c r="O119" s="32" t="n">
        <f aca="false">IF(H119&lt;=0,0,M119*Assumptions!$B$3*H119*N119)</f>
        <v>114266.798316538</v>
      </c>
      <c r="P119" s="25" t="n">
        <v>114266.8</v>
      </c>
      <c r="Q119" s="32" t="n">
        <f aca="false">O119-P119</f>
        <v>-0.00168346178543288</v>
      </c>
    </row>
    <row r="120" customFormat="false" ht="15" hidden="false" customHeight="false" outlineLevel="0" collapsed="false">
      <c r="A120" s="14" t="s">
        <v>289</v>
      </c>
      <c r="B120" s="14" t="n">
        <v>2</v>
      </c>
      <c r="C120" s="14" t="s">
        <v>156</v>
      </c>
      <c r="D120" s="14" t="n">
        <v>21</v>
      </c>
      <c r="E120" s="14" t="n">
        <v>12.73</v>
      </c>
      <c r="F120" s="31" t="n">
        <v>0.0992</v>
      </c>
      <c r="G120" s="31" t="n">
        <v>0.6217</v>
      </c>
      <c r="H120" s="25" t="n">
        <v>275482.12</v>
      </c>
      <c r="I120" s="25" t="n">
        <v>16989.71</v>
      </c>
      <c r="J120" s="32" t="n">
        <f aca="false">F120*G120*H120</f>
        <v>16989.7096131968</v>
      </c>
      <c r="K120" s="32" t="n">
        <f aca="false">J120-I120</f>
        <v>-0.000386803199944552</v>
      </c>
      <c r="L120" s="28" t="n">
        <f aca="false">IF(B120=1,12,IF(B120=2,MIN(MAX(D120,1),60),6))</f>
        <v>21</v>
      </c>
      <c r="M120" s="11" t="n">
        <f aca="false">IF(B120=3,1,IFERROR(INDEX(PD_TermStructure!$C$2:$C$241,MATCH(C120&amp;"|"&amp;L120,PD_TermStructure!$D$2:$D$241,0)),0))</f>
        <v>0.999803</v>
      </c>
      <c r="N120" s="22" t="n">
        <f aca="false">(1+E120/100)^(-(L120/12)/2)</f>
        <v>0.900462085634095</v>
      </c>
      <c r="O120" s="32" t="n">
        <f aca="false">IF(H120&lt;=0,0,M120*Assumptions!$B$3*H120*N120)</f>
        <v>102855.569824187</v>
      </c>
      <c r="P120" s="25" t="n">
        <v>102855.57</v>
      </c>
      <c r="Q120" s="32" t="n">
        <f aca="false">O120-P120</f>
        <v>-0.000175813140231185</v>
      </c>
    </row>
    <row r="121" customFormat="false" ht="15" hidden="false" customHeight="false" outlineLevel="0" collapsed="false">
      <c r="A121" s="14" t="s">
        <v>290</v>
      </c>
      <c r="B121" s="14" t="n">
        <v>1</v>
      </c>
      <c r="C121" s="14" t="s">
        <v>154</v>
      </c>
      <c r="D121" s="14" t="n">
        <v>29</v>
      </c>
      <c r="E121" s="14" t="n">
        <v>8.88</v>
      </c>
      <c r="F121" s="31" t="n">
        <v>0.0237</v>
      </c>
      <c r="G121" s="31" t="n">
        <v>0.6376</v>
      </c>
      <c r="H121" s="25" t="n">
        <v>298532.49</v>
      </c>
      <c r="I121" s="25" t="n">
        <v>4511.16</v>
      </c>
      <c r="J121" s="32" t="n">
        <f aca="false">F121*G121*H121</f>
        <v>4511.1602802888</v>
      </c>
      <c r="K121" s="32" t="n">
        <f aca="false">J121-I121</f>
        <v>0.000280288799331174</v>
      </c>
      <c r="L121" s="28" t="n">
        <f aca="false">IF(B121=1,12,IF(B121=2,MIN(MAX(D121,1),60),6))</f>
        <v>12</v>
      </c>
      <c r="M121" s="11" t="n">
        <f aca="false">IF(B121=3,1,IFERROR(INDEX(PD_TermStructure!$C$2:$C$241,MATCH(C121&amp;"|"&amp;L121,PD_TermStructure!$D$2:$D$241,0)),0))</f>
        <v>0.109872</v>
      </c>
      <c r="N121" s="22" t="n">
        <f aca="false">(1+E121/100)^(-(L121/12)/2)</f>
        <v>0.958353964786597</v>
      </c>
      <c r="O121" s="32" t="n">
        <f aca="false">IF(H121&lt;=0,0,M121*Assumptions!$B$3*H121*N121)</f>
        <v>13036.442949587</v>
      </c>
      <c r="P121" s="25" t="n">
        <v>13036.44</v>
      </c>
      <c r="Q121" s="32" t="n">
        <f aca="false">O121-P121</f>
        <v>0.00294958701852011</v>
      </c>
    </row>
    <row r="122" customFormat="false" ht="15" hidden="false" customHeight="false" outlineLevel="0" collapsed="false">
      <c r="A122" s="14" t="s">
        <v>291</v>
      </c>
      <c r="B122" s="14" t="n">
        <v>1</v>
      </c>
      <c r="C122" s="14" t="s">
        <v>154</v>
      </c>
      <c r="D122" s="14" t="n">
        <v>39</v>
      </c>
      <c r="E122" s="14" t="n">
        <v>10.91</v>
      </c>
      <c r="F122" s="31" t="n">
        <v>0.0232</v>
      </c>
      <c r="G122" s="31" t="n">
        <v>0.4138</v>
      </c>
      <c r="H122" s="25" t="n">
        <v>887535.78</v>
      </c>
      <c r="I122" s="25" t="n">
        <v>8520.49</v>
      </c>
      <c r="J122" s="32" t="n">
        <f aca="false">F122*G122*H122</f>
        <v>8520.4854937248</v>
      </c>
      <c r="K122" s="32" t="n">
        <f aca="false">J122-I122</f>
        <v>-0.00450627519967384</v>
      </c>
      <c r="L122" s="28" t="n">
        <f aca="false">IF(B122=1,12,IF(B122=2,MIN(MAX(D122,1),60),6))</f>
        <v>12</v>
      </c>
      <c r="M122" s="11" t="n">
        <f aca="false">IF(B122=3,1,IFERROR(INDEX(PD_TermStructure!$C$2:$C$241,MATCH(C122&amp;"|"&amp;L122,PD_TermStructure!$D$2:$D$241,0)),0))</f>
        <v>0.109872</v>
      </c>
      <c r="N122" s="22" t="n">
        <f aca="false">(1+E122/100)^(-(L122/12)/2)</f>
        <v>0.949543023688998</v>
      </c>
      <c r="O122" s="32" t="n">
        <f aca="false">IF(H122&lt;=0,0,M122*Assumptions!$B$3*H122*N122)</f>
        <v>38400.9597438257</v>
      </c>
      <c r="P122" s="25" t="n">
        <v>38400.96</v>
      </c>
      <c r="Q122" s="32" t="n">
        <f aca="false">O122-P122</f>
        <v>-0.000256174287642352</v>
      </c>
    </row>
    <row r="123" customFormat="false" ht="15" hidden="false" customHeight="false" outlineLevel="0" collapsed="false">
      <c r="A123" s="14" t="s">
        <v>292</v>
      </c>
      <c r="B123" s="14" t="n">
        <v>1</v>
      </c>
      <c r="C123" s="14" t="s">
        <v>154</v>
      </c>
      <c r="D123" s="14" t="n">
        <v>54</v>
      </c>
      <c r="E123" s="14" t="n">
        <v>12.29</v>
      </c>
      <c r="F123" s="31" t="n">
        <v>0.0187</v>
      </c>
      <c r="G123" s="31" t="n">
        <v>0.6254</v>
      </c>
      <c r="H123" s="25" t="n">
        <v>200010.59</v>
      </c>
      <c r="I123" s="25" t="n">
        <v>2339.12</v>
      </c>
      <c r="J123" s="32" t="n">
        <f aca="false">F123*G123*H123</f>
        <v>2339.1198498382</v>
      </c>
      <c r="K123" s="32" t="n">
        <f aca="false">J123-I123</f>
        <v>-0.0001501617998656</v>
      </c>
      <c r="L123" s="28" t="n">
        <f aca="false">IF(B123=1,12,IF(B123=2,MIN(MAX(D123,1),60),6))</f>
        <v>12</v>
      </c>
      <c r="M123" s="11" t="n">
        <f aca="false">IF(B123=3,1,IFERROR(INDEX(PD_TermStructure!$C$2:$C$241,MATCH(C123&amp;"|"&amp;L123,PD_TermStructure!$D$2:$D$241,0)),0))</f>
        <v>0.109872</v>
      </c>
      <c r="N123" s="22" t="n">
        <f aca="false">(1+E123/100)^(-(L123/12)/2)</f>
        <v>0.94369023054417</v>
      </c>
      <c r="O123" s="32" t="n">
        <f aca="false">IF(H123&lt;=0,0,M123*Assumptions!$B$3*H123*N123)</f>
        <v>8600.50615914961</v>
      </c>
      <c r="P123" s="25" t="n">
        <v>8600.51</v>
      </c>
      <c r="Q123" s="32" t="n">
        <f aca="false">O123-P123</f>
        <v>-0.00384085039331694</v>
      </c>
    </row>
    <row r="124" customFormat="false" ht="15" hidden="false" customHeight="false" outlineLevel="0" collapsed="false">
      <c r="A124" s="14" t="s">
        <v>293</v>
      </c>
      <c r="B124" s="14" t="n">
        <v>1</v>
      </c>
      <c r="C124" s="14" t="s">
        <v>154</v>
      </c>
      <c r="D124" s="14" t="n">
        <v>8</v>
      </c>
      <c r="E124" s="14" t="n">
        <v>11.12</v>
      </c>
      <c r="F124" s="31" t="n">
        <v>0.0159</v>
      </c>
      <c r="G124" s="31" t="n">
        <v>0.5306</v>
      </c>
      <c r="H124" s="25" t="n">
        <v>327414.85</v>
      </c>
      <c r="I124" s="25" t="n">
        <v>2762.25</v>
      </c>
      <c r="J124" s="32" t="n">
        <f aca="false">F124*G124*H124</f>
        <v>2762.248478619</v>
      </c>
      <c r="K124" s="32" t="n">
        <f aca="false">J124-I124</f>
        <v>-0.00152138100020238</v>
      </c>
      <c r="L124" s="28" t="n">
        <f aca="false">IF(B124=1,12,IF(B124=2,MIN(MAX(D124,1),60),6))</f>
        <v>12</v>
      </c>
      <c r="M124" s="11" t="n">
        <f aca="false">IF(B124=3,1,IFERROR(INDEX(PD_TermStructure!$C$2:$C$241,MATCH(C124&amp;"|"&amp;L124,PD_TermStructure!$D$2:$D$241,0)),0))</f>
        <v>0.109872</v>
      </c>
      <c r="N124" s="22" t="n">
        <f aca="false">(1+E124/100)^(-(L124/12)/2)</f>
        <v>0.94864535299528</v>
      </c>
      <c r="O124" s="32" t="n">
        <f aca="false">IF(H124&lt;=0,0,M124*Assumptions!$B$3*H124*N124)</f>
        <v>14152.8472005545</v>
      </c>
      <c r="P124" s="25" t="n">
        <v>14152.85</v>
      </c>
      <c r="Q124" s="32" t="n">
        <f aca="false">O124-P124</f>
        <v>-0.00279944552312372</v>
      </c>
    </row>
    <row r="125" customFormat="false" ht="15" hidden="false" customHeight="false" outlineLevel="0" collapsed="false">
      <c r="A125" s="14" t="s">
        <v>294</v>
      </c>
      <c r="B125" s="14" t="n">
        <v>1</v>
      </c>
      <c r="C125" s="14" t="s">
        <v>154</v>
      </c>
      <c r="D125" s="14" t="n">
        <v>71</v>
      </c>
      <c r="E125" s="14" t="n">
        <v>11.65</v>
      </c>
      <c r="F125" s="31" t="n">
        <v>0.0244</v>
      </c>
      <c r="G125" s="31" t="n">
        <v>0.4012</v>
      </c>
      <c r="H125" s="25" t="n">
        <v>429022.62</v>
      </c>
      <c r="I125" s="25" t="n">
        <v>4199.82</v>
      </c>
      <c r="J125" s="32" t="n">
        <f aca="false">F125*G125*H125</f>
        <v>4199.8225535136</v>
      </c>
      <c r="K125" s="32" t="n">
        <f aca="false">J125-I125</f>
        <v>0.00255351360101486</v>
      </c>
      <c r="L125" s="28" t="n">
        <f aca="false">IF(B125=1,12,IF(B125=2,MIN(MAX(D125,1),60),6))</f>
        <v>12</v>
      </c>
      <c r="M125" s="11" t="n">
        <f aca="false">IF(B125=3,1,IFERROR(INDEX(PD_TermStructure!$C$2:$C$241,MATCH(C125&amp;"|"&amp;L125,PD_TermStructure!$D$2:$D$241,0)),0))</f>
        <v>0.109872</v>
      </c>
      <c r="N125" s="22" t="n">
        <f aca="false">(1+E125/100)^(-(L125/12)/2)</f>
        <v>0.946391075649946</v>
      </c>
      <c r="O125" s="32" t="n">
        <f aca="false">IF(H125&lt;=0,0,M125*Assumptions!$B$3*H125*N125)</f>
        <v>18500.8800839139</v>
      </c>
      <c r="P125" s="25" t="n">
        <v>18500.88</v>
      </c>
      <c r="Q125" s="32" t="n">
        <f aca="false">O125-P125</f>
        <v>8.39139393065125E-005</v>
      </c>
    </row>
    <row r="126" customFormat="false" ht="15" hidden="false" customHeight="false" outlineLevel="0" collapsed="false">
      <c r="A126" s="14" t="s">
        <v>295</v>
      </c>
      <c r="B126" s="14" t="n">
        <v>1</v>
      </c>
      <c r="C126" s="14" t="s">
        <v>154</v>
      </c>
      <c r="D126" s="14" t="n">
        <v>25</v>
      </c>
      <c r="E126" s="14" t="n">
        <v>9.11</v>
      </c>
      <c r="F126" s="31" t="n">
        <v>0.0219</v>
      </c>
      <c r="G126" s="31" t="n">
        <v>0.6206</v>
      </c>
      <c r="H126" s="25" t="n">
        <v>1817627.91</v>
      </c>
      <c r="I126" s="25" t="n">
        <v>24703.64</v>
      </c>
      <c r="J126" s="32" t="n">
        <f aca="false">F126*G126*H126</f>
        <v>24703.6353927174</v>
      </c>
      <c r="K126" s="32" t="n">
        <f aca="false">J126-I126</f>
        <v>-0.00460728260077303</v>
      </c>
      <c r="L126" s="28" t="n">
        <f aca="false">IF(B126=1,12,IF(B126=2,MIN(MAX(D126,1),60),6))</f>
        <v>12</v>
      </c>
      <c r="M126" s="11" t="n">
        <f aca="false">IF(B126=3,1,IFERROR(INDEX(PD_TermStructure!$C$2:$C$241,MATCH(C126&amp;"|"&amp;L126,PD_TermStructure!$D$2:$D$241,0)),0))</f>
        <v>0.109872</v>
      </c>
      <c r="N126" s="22" t="n">
        <f aca="false">(1+E126/100)^(-(L126/12)/2)</f>
        <v>0.957343343878258</v>
      </c>
      <c r="O126" s="32" t="n">
        <f aca="false">IF(H126&lt;=0,0,M126*Assumptions!$B$3*H126*N126)</f>
        <v>79289.241998633</v>
      </c>
      <c r="P126" s="25" t="n">
        <v>79289.24</v>
      </c>
      <c r="Q126" s="32" t="n">
        <f aca="false">O126-P126</f>
        <v>0.00199863301531877</v>
      </c>
    </row>
    <row r="127" customFormat="false" ht="15" hidden="false" customHeight="false" outlineLevel="0" collapsed="false">
      <c r="A127" s="14" t="s">
        <v>296</v>
      </c>
      <c r="B127" s="14" t="n">
        <v>1</v>
      </c>
      <c r="C127" s="14" t="s">
        <v>154</v>
      </c>
      <c r="D127" s="14" t="n">
        <v>74</v>
      </c>
      <c r="E127" s="14" t="n">
        <v>13.13</v>
      </c>
      <c r="F127" s="31" t="n">
        <v>0.0185</v>
      </c>
      <c r="G127" s="31" t="n">
        <v>0.4116</v>
      </c>
      <c r="H127" s="25" t="n">
        <v>2041875.44</v>
      </c>
      <c r="I127" s="25" t="n">
        <v>15548.06</v>
      </c>
      <c r="J127" s="32" t="n">
        <f aca="false">F127*G127*H127</f>
        <v>15548.064725424</v>
      </c>
      <c r="K127" s="32" t="n">
        <f aca="false">J127-I127</f>
        <v>0.00472542399984377</v>
      </c>
      <c r="L127" s="28" t="n">
        <f aca="false">IF(B127=1,12,IF(B127=2,MIN(MAX(D127,1),60),6))</f>
        <v>12</v>
      </c>
      <c r="M127" s="11" t="n">
        <f aca="false">IF(B127=3,1,IFERROR(INDEX(PD_TermStructure!$C$2:$C$241,MATCH(C127&amp;"|"&amp;L127,PD_TermStructure!$D$2:$D$241,0)),0))</f>
        <v>0.109872</v>
      </c>
      <c r="N127" s="22" t="n">
        <f aca="false">(1+E127/100)^(-(L127/12)/2)</f>
        <v>0.940180212210864</v>
      </c>
      <c r="O127" s="32" t="n">
        <f aca="false">IF(H127&lt;=0,0,M127*Assumptions!$B$3*H127*N127)</f>
        <v>87474.5894815912</v>
      </c>
      <c r="P127" s="25" t="n">
        <v>87474.59</v>
      </c>
      <c r="Q127" s="32" t="n">
        <f aca="false">O127-P127</f>
        <v>-0.000518408764037304</v>
      </c>
    </row>
    <row r="128" customFormat="false" ht="15" hidden="false" customHeight="false" outlineLevel="0" collapsed="false">
      <c r="A128" s="14" t="s">
        <v>297</v>
      </c>
      <c r="B128" s="14" t="n">
        <v>1</v>
      </c>
      <c r="C128" s="14" t="s">
        <v>154</v>
      </c>
      <c r="D128" s="14" t="n">
        <v>39</v>
      </c>
      <c r="E128" s="14" t="n">
        <v>10.39</v>
      </c>
      <c r="F128" s="31" t="n">
        <v>0.0166</v>
      </c>
      <c r="G128" s="31" t="n">
        <v>0.4702</v>
      </c>
      <c r="H128" s="25" t="n">
        <v>2161269.99</v>
      </c>
      <c r="I128" s="25" t="n">
        <v>16869.4</v>
      </c>
      <c r="J128" s="32" t="n">
        <f aca="false">F128*G128*H128</f>
        <v>16869.4038783468</v>
      </c>
      <c r="K128" s="32" t="n">
        <f aca="false">J128-I128</f>
        <v>0.00387834680077503</v>
      </c>
      <c r="L128" s="28" t="n">
        <f aca="false">IF(B128=1,12,IF(B128=2,MIN(MAX(D128,1),60),6))</f>
        <v>12</v>
      </c>
      <c r="M128" s="11" t="n">
        <f aca="false">IF(B128=3,1,IFERROR(INDEX(PD_TermStructure!$C$2:$C$241,MATCH(C128&amp;"|"&amp;L128,PD_TermStructure!$D$2:$D$241,0)),0))</f>
        <v>0.109872</v>
      </c>
      <c r="N128" s="22" t="n">
        <f aca="false">(1+E128/100)^(-(L128/12)/2)</f>
        <v>0.95177684134498</v>
      </c>
      <c r="O128" s="32" t="n">
        <f aca="false">IF(H128&lt;=0,0,M128*Assumptions!$B$3*H128*N128)</f>
        <v>93731.5324836715</v>
      </c>
      <c r="P128" s="25" t="n">
        <v>93731.53</v>
      </c>
      <c r="Q128" s="32" t="n">
        <f aca="false">O128-P128</f>
        <v>0.00248367145832162</v>
      </c>
    </row>
    <row r="129" customFormat="false" ht="15" hidden="false" customHeight="false" outlineLevel="0" collapsed="false">
      <c r="A129" s="14" t="s">
        <v>298</v>
      </c>
      <c r="B129" s="14" t="n">
        <v>3</v>
      </c>
      <c r="C129" s="14" t="s">
        <v>189</v>
      </c>
      <c r="D129" s="14" t="n">
        <v>3</v>
      </c>
      <c r="E129" s="14" t="n">
        <v>10.1</v>
      </c>
      <c r="F129" s="31" t="n">
        <v>0.9087</v>
      </c>
      <c r="G129" s="31" t="n">
        <v>0.5522</v>
      </c>
      <c r="H129" s="25" t="n">
        <v>46283.79</v>
      </c>
      <c r="I129" s="25" t="n">
        <v>23224.47</v>
      </c>
      <c r="J129" s="32" t="n">
        <f aca="false">F129*G129*H129</f>
        <v>23224.4717610906</v>
      </c>
      <c r="K129" s="32" t="n">
        <f aca="false">J129-I129</f>
        <v>0.00176109059975715</v>
      </c>
      <c r="L129" s="28" t="n">
        <f aca="false">IF(B129=1,12,IF(B129=2,MIN(MAX(D129,1),60),6))</f>
        <v>6</v>
      </c>
      <c r="M129" s="11" t="n">
        <f aca="false">IF(B129=3,1,IFERROR(INDEX(PD_TermStructure!$C$2:$C$241,MATCH(C129&amp;"|"&amp;L129,PD_TermStructure!$D$2:$D$241,0)),0))</f>
        <v>1</v>
      </c>
      <c r="N129" s="22" t="n">
        <f aca="false">(1+E129/100)^(-(L129/12)/2)</f>
        <v>0.976232294298081</v>
      </c>
      <c r="O129" s="32" t="n">
        <f aca="false">IF(H129&lt;=0,0,M129*Assumptions!$B$3*H129*N129)</f>
        <v>18738.5773516512</v>
      </c>
      <c r="P129" s="25" t="n">
        <v>18738.58</v>
      </c>
      <c r="Q129" s="32" t="n">
        <f aca="false">O129-P129</f>
        <v>-0.00264834880363196</v>
      </c>
    </row>
    <row r="130" customFormat="false" ht="15" hidden="false" customHeight="false" outlineLevel="0" collapsed="false">
      <c r="A130" s="14" t="s">
        <v>299</v>
      </c>
      <c r="B130" s="14" t="n">
        <v>2</v>
      </c>
      <c r="C130" s="14" t="s">
        <v>157</v>
      </c>
      <c r="D130" s="14" t="n">
        <v>14</v>
      </c>
      <c r="E130" s="14" t="n">
        <v>11.35</v>
      </c>
      <c r="F130" s="31" t="n">
        <v>0.1471</v>
      </c>
      <c r="G130" s="31" t="n">
        <v>0.5939</v>
      </c>
      <c r="H130" s="25" t="n">
        <v>244926.51</v>
      </c>
      <c r="I130" s="25" t="n">
        <v>21397.44</v>
      </c>
      <c r="J130" s="32" t="n">
        <f aca="false">F130*G130*H130</f>
        <v>21397.4387659119</v>
      </c>
      <c r="K130" s="32" t="n">
        <f aca="false">J130-I130</f>
        <v>-0.00123408809668035</v>
      </c>
      <c r="L130" s="28" t="n">
        <f aca="false">IF(B130=1,12,IF(B130=2,MIN(MAX(D130,1),60),6))</f>
        <v>14</v>
      </c>
      <c r="M130" s="11" t="n">
        <f aca="false">IF(B130=3,1,IFERROR(INDEX(PD_TermStructure!$C$2:$C$241,MATCH(C130&amp;"|"&amp;L130,PD_TermStructure!$D$2:$D$241,0)),0))</f>
        <v>0.998415</v>
      </c>
      <c r="N130" s="22" t="n">
        <f aca="false">(1+E130/100)^(-(L130/12)/2)</f>
        <v>0.939212875337851</v>
      </c>
      <c r="O130" s="32" t="n">
        <f aca="false">IF(H130&lt;=0,0,M130*Assumptions!$B$3*H130*N130)</f>
        <v>95250.1043223558</v>
      </c>
      <c r="P130" s="25" t="n">
        <v>95250.1</v>
      </c>
      <c r="Q130" s="32" t="n">
        <f aca="false">O130-P130</f>
        <v>0.00432235577318352</v>
      </c>
    </row>
    <row r="131" customFormat="false" ht="15" hidden="false" customHeight="false" outlineLevel="0" collapsed="false">
      <c r="A131" s="14" t="s">
        <v>300</v>
      </c>
      <c r="B131" s="14" t="n">
        <v>1</v>
      </c>
      <c r="C131" s="14" t="s">
        <v>154</v>
      </c>
      <c r="D131" s="14" t="n">
        <v>33</v>
      </c>
      <c r="E131" s="14" t="n">
        <v>12.24</v>
      </c>
      <c r="F131" s="31" t="n">
        <v>0.0162</v>
      </c>
      <c r="G131" s="31" t="n">
        <v>0.5738</v>
      </c>
      <c r="H131" s="25" t="n">
        <v>467077.53</v>
      </c>
      <c r="I131" s="25" t="n">
        <v>4341.75</v>
      </c>
      <c r="J131" s="32" t="n">
        <f aca="false">F131*G131*H131</f>
        <v>4341.7472047668</v>
      </c>
      <c r="K131" s="32" t="n">
        <f aca="false">J131-I131</f>
        <v>-0.00279523320023145</v>
      </c>
      <c r="L131" s="28" t="n">
        <f aca="false">IF(B131=1,12,IF(B131=2,MIN(MAX(D131,1),60),6))</f>
        <v>12</v>
      </c>
      <c r="M131" s="11" t="n">
        <f aca="false">IF(B131=3,1,IFERROR(INDEX(PD_TermStructure!$C$2:$C$241,MATCH(C131&amp;"|"&amp;L131,PD_TermStructure!$D$2:$D$241,0)),0))</f>
        <v>0.109872</v>
      </c>
      <c r="N131" s="22" t="n">
        <f aca="false">(1+E131/100)^(-(L131/12)/2)</f>
        <v>0.943900401863794</v>
      </c>
      <c r="O131" s="32" t="n">
        <f aca="false">IF(H131&lt;=0,0,M131*Assumptions!$B$3*H131*N131)</f>
        <v>20088.9254484868</v>
      </c>
      <c r="P131" s="25" t="n">
        <v>20088.93</v>
      </c>
      <c r="Q131" s="32" t="n">
        <f aca="false">O131-P131</f>
        <v>-0.00455151322239544</v>
      </c>
    </row>
    <row r="132" customFormat="false" ht="15" hidden="false" customHeight="false" outlineLevel="0" collapsed="false">
      <c r="A132" s="14" t="s">
        <v>301</v>
      </c>
      <c r="B132" s="14" t="n">
        <v>1</v>
      </c>
      <c r="C132" s="14" t="s">
        <v>154</v>
      </c>
      <c r="D132" s="14" t="n">
        <v>4</v>
      </c>
      <c r="E132" s="14" t="n">
        <v>13.94</v>
      </c>
      <c r="F132" s="31" t="n">
        <v>0.0188</v>
      </c>
      <c r="G132" s="31" t="n">
        <v>0.5751</v>
      </c>
      <c r="H132" s="25" t="n">
        <v>106702.87</v>
      </c>
      <c r="I132" s="25" t="n">
        <v>1153.66</v>
      </c>
      <c r="J132" s="32" t="n">
        <f aca="false">F132*G132*H132</f>
        <v>1153.6586260956</v>
      </c>
      <c r="K132" s="32" t="n">
        <f aca="false">J132-I132</f>
        <v>-0.001373904400225</v>
      </c>
      <c r="L132" s="28" t="n">
        <f aca="false">IF(B132=1,12,IF(B132=2,MIN(MAX(D132,1),60),6))</f>
        <v>12</v>
      </c>
      <c r="M132" s="11" t="n">
        <f aca="false">IF(B132=3,1,IFERROR(INDEX(PD_TermStructure!$C$2:$C$241,MATCH(C132&amp;"|"&amp;L132,PD_TermStructure!$D$2:$D$241,0)),0))</f>
        <v>0.109872</v>
      </c>
      <c r="N132" s="22" t="n">
        <f aca="false">(1+E132/100)^(-(L132/12)/2)</f>
        <v>0.936832378865571</v>
      </c>
      <c r="O132" s="32" t="n">
        <f aca="false">IF(H132&lt;=0,0,M132*Assumptions!$B$3*H132*N132)</f>
        <v>4554.90742257426</v>
      </c>
      <c r="P132" s="25" t="n">
        <v>4554.91</v>
      </c>
      <c r="Q132" s="32" t="n">
        <f aca="false">O132-P132</f>
        <v>-0.00257742573558062</v>
      </c>
    </row>
    <row r="133" customFormat="false" ht="15" hidden="false" customHeight="false" outlineLevel="0" collapsed="false">
      <c r="A133" s="14" t="s">
        <v>302</v>
      </c>
      <c r="B133" s="14" t="n">
        <v>1</v>
      </c>
      <c r="C133" s="14" t="s">
        <v>154</v>
      </c>
      <c r="D133" s="14" t="n">
        <v>14</v>
      </c>
      <c r="E133" s="14" t="n">
        <v>10.16</v>
      </c>
      <c r="F133" s="31" t="n">
        <v>0.0162</v>
      </c>
      <c r="G133" s="31" t="n">
        <v>0.3893</v>
      </c>
      <c r="H133" s="25" t="n">
        <v>273522.32</v>
      </c>
      <c r="I133" s="25" t="n">
        <v>1725.01</v>
      </c>
      <c r="J133" s="32" t="n">
        <f aca="false">F133*G133*H133</f>
        <v>1725.0122746512</v>
      </c>
      <c r="K133" s="32" t="n">
        <f aca="false">J133-I133</f>
        <v>0.0022746511999685</v>
      </c>
      <c r="L133" s="28" t="n">
        <f aca="false">IF(B133=1,12,IF(B133=2,MIN(MAX(D133,1),60),6))</f>
        <v>12</v>
      </c>
      <c r="M133" s="11" t="n">
        <f aca="false">IF(B133=3,1,IFERROR(INDEX(PD_TermStructure!$C$2:$C$241,MATCH(C133&amp;"|"&amp;L133,PD_TermStructure!$D$2:$D$241,0)),0))</f>
        <v>0.109872</v>
      </c>
      <c r="N133" s="22" t="n">
        <f aca="false">(1+E133/100)^(-(L133/12)/2)</f>
        <v>0.952769917458383</v>
      </c>
      <c r="O133" s="32" t="n">
        <f aca="false">IF(H133&lt;=0,0,M133*Assumptions!$B$3*H133*N133)</f>
        <v>11874.6924125686</v>
      </c>
      <c r="P133" s="25" t="n">
        <v>11874.69</v>
      </c>
      <c r="Q133" s="32" t="n">
        <f aca="false">O133-P133</f>
        <v>0.00241256856133987</v>
      </c>
    </row>
    <row r="134" customFormat="false" ht="15" hidden="false" customHeight="false" outlineLevel="0" collapsed="false">
      <c r="A134" s="14" t="s">
        <v>303</v>
      </c>
      <c r="B134" s="14" t="n">
        <v>1</v>
      </c>
      <c r="C134" s="14" t="s">
        <v>154</v>
      </c>
      <c r="D134" s="14" t="n">
        <v>52</v>
      </c>
      <c r="E134" s="14" t="n">
        <v>11</v>
      </c>
      <c r="F134" s="31" t="n">
        <v>0.0171</v>
      </c>
      <c r="G134" s="31" t="n">
        <v>0.4581</v>
      </c>
      <c r="H134" s="25" t="n">
        <v>593191.25</v>
      </c>
      <c r="I134" s="25" t="n">
        <v>4646.77</v>
      </c>
      <c r="J134" s="32" t="n">
        <f aca="false">F134*G134*H134</f>
        <v>4646.7695887875</v>
      </c>
      <c r="K134" s="32" t="n">
        <f aca="false">J134-I134</f>
        <v>-0.000411212500694091</v>
      </c>
      <c r="L134" s="28" t="n">
        <f aca="false">IF(B134=1,12,IF(B134=2,MIN(MAX(D134,1),60),6))</f>
        <v>12</v>
      </c>
      <c r="M134" s="11" t="n">
        <f aca="false">IF(B134=3,1,IFERROR(INDEX(PD_TermStructure!$C$2:$C$241,MATCH(C134&amp;"|"&amp;L134,PD_TermStructure!$D$2:$D$241,0)),0))</f>
        <v>0.109872</v>
      </c>
      <c r="N134" s="22" t="n">
        <f aca="false">(1+E134/100)^(-(L134/12)/2)</f>
        <v>0.949157995752499</v>
      </c>
      <c r="O134" s="32" t="n">
        <f aca="false">IF(H134&lt;=0,0,M134*Assumptions!$B$3*H134*N134)</f>
        <v>25655.1647566248</v>
      </c>
      <c r="P134" s="25" t="n">
        <v>25655.16</v>
      </c>
      <c r="Q134" s="32" t="n">
        <f aca="false">O134-P134</f>
        <v>0.00475662481039763</v>
      </c>
    </row>
    <row r="135" customFormat="false" ht="15" hidden="false" customHeight="false" outlineLevel="0" collapsed="false">
      <c r="A135" s="14" t="s">
        <v>304</v>
      </c>
      <c r="B135" s="14" t="n">
        <v>1</v>
      </c>
      <c r="C135" s="14" t="s">
        <v>155</v>
      </c>
      <c r="D135" s="14" t="n">
        <v>70</v>
      </c>
      <c r="E135" s="14" t="n">
        <v>12.92</v>
      </c>
      <c r="F135" s="31" t="n">
        <v>0.0173</v>
      </c>
      <c r="G135" s="31" t="n">
        <v>0.4835</v>
      </c>
      <c r="H135" s="25" t="n">
        <v>1441585.12</v>
      </c>
      <c r="I135" s="25" t="n">
        <v>12058.21</v>
      </c>
      <c r="J135" s="32" t="n">
        <f aca="false">F135*G135*H135</f>
        <v>12058.210815496</v>
      </c>
      <c r="K135" s="32" t="n">
        <f aca="false">J135-I135</f>
        <v>0.000815496001450811</v>
      </c>
      <c r="L135" s="28" t="n">
        <f aca="false">IF(B135=1,12,IF(B135=2,MIN(MAX(D135,1),60),6))</f>
        <v>12</v>
      </c>
      <c r="M135" s="11" t="n">
        <f aca="false">IF(B135=3,1,IFERROR(INDEX(PD_TermStructure!$C$2:$C$241,MATCH(C135&amp;"|"&amp;L135,PD_TermStructure!$D$2:$D$241,0)),0))</f>
        <v>0.164153</v>
      </c>
      <c r="N135" s="22" t="n">
        <f aca="false">(1+E135/100)^(-(L135/12)/2)</f>
        <v>0.94105404383884</v>
      </c>
      <c r="O135" s="32" t="n">
        <f aca="false">IF(H135&lt;=0,0,M135*Assumptions!$B$3*H135*N135)</f>
        <v>92354.5318971215</v>
      </c>
      <c r="P135" s="25" t="n">
        <v>92354.53</v>
      </c>
      <c r="Q135" s="32" t="n">
        <f aca="false">O135-P135</f>
        <v>0.00189712151768617</v>
      </c>
    </row>
    <row r="136" customFormat="false" ht="15" hidden="false" customHeight="false" outlineLevel="0" collapsed="false">
      <c r="A136" s="14" t="s">
        <v>305</v>
      </c>
      <c r="B136" s="14" t="n">
        <v>1</v>
      </c>
      <c r="C136" s="14" t="s">
        <v>154</v>
      </c>
      <c r="D136" s="14" t="n">
        <v>0</v>
      </c>
      <c r="E136" s="14" t="n">
        <v>7.95</v>
      </c>
      <c r="F136" s="31" t="n">
        <v>0.0156</v>
      </c>
      <c r="G136" s="31" t="n">
        <v>0.6016</v>
      </c>
      <c r="H136" s="25" t="n">
        <v>0</v>
      </c>
      <c r="I136" s="25" t="n">
        <v>0</v>
      </c>
      <c r="J136" s="32" t="n">
        <f aca="false">F136*G136*H136</f>
        <v>0</v>
      </c>
      <c r="K136" s="32" t="n">
        <f aca="false">J136-I136</f>
        <v>0</v>
      </c>
      <c r="L136" s="28" t="n">
        <f aca="false">IF(B136=1,12,IF(B136=2,MIN(MAX(D136,1),60),6))</f>
        <v>12</v>
      </c>
      <c r="M136" s="11" t="n">
        <f aca="false">IF(B136=3,1,IFERROR(INDEX(PD_TermStructure!$C$2:$C$241,MATCH(C136&amp;"|"&amp;L136,PD_TermStructure!$D$2:$D$241,0)),0))</f>
        <v>0.109872</v>
      </c>
      <c r="N136" s="22" t="n">
        <f aca="false">(1+E136/100)^(-(L136/12)/2)</f>
        <v>0.962473269180011</v>
      </c>
      <c r="O136" s="32" t="n">
        <f aca="false">IF(H136&lt;=0,0,M136*Assumptions!$B$3*H136*N136)</f>
        <v>0</v>
      </c>
      <c r="P136" s="25" t="n">
        <v>0</v>
      </c>
      <c r="Q136" s="32" t="n">
        <f aca="false">O136-P136</f>
        <v>0</v>
      </c>
    </row>
    <row r="137" customFormat="false" ht="15" hidden="false" customHeight="false" outlineLevel="0" collapsed="false">
      <c r="A137" s="14" t="s">
        <v>306</v>
      </c>
      <c r="B137" s="14" t="n">
        <v>1</v>
      </c>
      <c r="C137" s="14" t="s">
        <v>154</v>
      </c>
      <c r="D137" s="14" t="n">
        <v>75</v>
      </c>
      <c r="E137" s="14" t="n">
        <v>10.54</v>
      </c>
      <c r="F137" s="31" t="n">
        <v>0.0223</v>
      </c>
      <c r="G137" s="31" t="n">
        <v>0.4976</v>
      </c>
      <c r="H137" s="25" t="n">
        <v>668326.23</v>
      </c>
      <c r="I137" s="25" t="n">
        <v>7416.07</v>
      </c>
      <c r="J137" s="32" t="n">
        <f aca="false">F137*G137*H137</f>
        <v>7416.0686446704</v>
      </c>
      <c r="K137" s="32" t="n">
        <f aca="false">J137-I137</f>
        <v>-0.00135532959939155</v>
      </c>
      <c r="L137" s="28" t="n">
        <f aca="false">IF(B137=1,12,IF(B137=2,MIN(MAX(D137,1),60),6))</f>
        <v>12</v>
      </c>
      <c r="M137" s="11" t="n">
        <f aca="false">IF(B137=3,1,IFERROR(INDEX(PD_TermStructure!$C$2:$C$241,MATCH(C137&amp;"|"&amp;L137,PD_TermStructure!$D$2:$D$241,0)),0))</f>
        <v>0.109872</v>
      </c>
      <c r="N137" s="22" t="n">
        <f aca="false">(1+E137/100)^(-(L137/12)/2)</f>
        <v>0.951130853504664</v>
      </c>
      <c r="O137" s="32" t="n">
        <f aca="false">IF(H137&lt;=0,0,M137*Assumptions!$B$3*H137*N137)</f>
        <v>28964.7868828195</v>
      </c>
      <c r="P137" s="25" t="n">
        <v>28964.79</v>
      </c>
      <c r="Q137" s="32" t="n">
        <f aca="false">O137-P137</f>
        <v>-0.00311718054581434</v>
      </c>
    </row>
    <row r="138" customFormat="false" ht="15" hidden="false" customHeight="false" outlineLevel="0" collapsed="false">
      <c r="A138" s="14" t="s">
        <v>307</v>
      </c>
      <c r="B138" s="14" t="n">
        <v>1</v>
      </c>
      <c r="C138" s="14" t="s">
        <v>154</v>
      </c>
      <c r="D138" s="14" t="n">
        <v>63</v>
      </c>
      <c r="E138" s="14" t="n">
        <v>13.3</v>
      </c>
      <c r="F138" s="31" t="n">
        <v>0.0214</v>
      </c>
      <c r="G138" s="31" t="n">
        <v>0.4316</v>
      </c>
      <c r="H138" s="25" t="n">
        <v>683518.48</v>
      </c>
      <c r="I138" s="25" t="n">
        <v>6313.14</v>
      </c>
      <c r="J138" s="32" t="n">
        <f aca="false">F138*G138*H138</f>
        <v>6313.1407257152</v>
      </c>
      <c r="K138" s="32" t="n">
        <f aca="false">J138-I138</f>
        <v>0.000725715199223487</v>
      </c>
      <c r="L138" s="28" t="n">
        <f aca="false">IF(B138=1,12,IF(B138=2,MIN(MAX(D138,1),60),6))</f>
        <v>12</v>
      </c>
      <c r="M138" s="11" t="n">
        <f aca="false">IF(B138=3,1,IFERROR(INDEX(PD_TermStructure!$C$2:$C$241,MATCH(C138&amp;"|"&amp;L138,PD_TermStructure!$D$2:$D$241,0)),0))</f>
        <v>0.109872</v>
      </c>
      <c r="N138" s="22" t="n">
        <f aca="false">(1+E138/100)^(-(L138/12)/2)</f>
        <v>0.939474604818017</v>
      </c>
      <c r="O138" s="32" t="n">
        <f aca="false">IF(H138&lt;=0,0,M138*Assumptions!$B$3*H138*N138)</f>
        <v>29260.1714900301</v>
      </c>
      <c r="P138" s="25" t="n">
        <v>29260.17</v>
      </c>
      <c r="Q138" s="32" t="n">
        <f aca="false">O138-P138</f>
        <v>0.00149003011028981</v>
      </c>
    </row>
    <row r="139" customFormat="false" ht="15" hidden="false" customHeight="false" outlineLevel="0" collapsed="false">
      <c r="A139" s="14" t="s">
        <v>308</v>
      </c>
      <c r="B139" s="14" t="n">
        <v>1</v>
      </c>
      <c r="C139" s="14" t="s">
        <v>154</v>
      </c>
      <c r="D139" s="14" t="n">
        <v>33</v>
      </c>
      <c r="E139" s="14" t="n">
        <v>9.68</v>
      </c>
      <c r="F139" s="31" t="n">
        <v>0.0257</v>
      </c>
      <c r="G139" s="31" t="n">
        <v>0.5644</v>
      </c>
      <c r="H139" s="25" t="n">
        <v>110109.21</v>
      </c>
      <c r="I139" s="25" t="n">
        <v>1597.14</v>
      </c>
      <c r="J139" s="32" t="n">
        <f aca="false">F139*G139*H139</f>
        <v>1597.1428997868</v>
      </c>
      <c r="K139" s="32" t="n">
        <f aca="false">J139-I139</f>
        <v>0.00289978680007152</v>
      </c>
      <c r="L139" s="28" t="n">
        <f aca="false">IF(B139=1,12,IF(B139=2,MIN(MAX(D139,1),60),6))</f>
        <v>12</v>
      </c>
      <c r="M139" s="11" t="n">
        <f aca="false">IF(B139=3,1,IFERROR(INDEX(PD_TermStructure!$C$2:$C$241,MATCH(C139&amp;"|"&amp;L139,PD_TermStructure!$D$2:$D$241,0)),0))</f>
        <v>0.109872</v>
      </c>
      <c r="N139" s="22" t="n">
        <f aca="false">(1+E139/100)^(-(L139/12)/2)</f>
        <v>0.954852477139755</v>
      </c>
      <c r="O139" s="32" t="n">
        <f aca="false">IF(H139&lt;=0,0,M139*Assumptions!$B$3*H139*N139)</f>
        <v>4790.72770318909</v>
      </c>
      <c r="P139" s="25" t="n">
        <v>4790.73</v>
      </c>
      <c r="Q139" s="32" t="n">
        <f aca="false">O139-P139</f>
        <v>-0.00229681090877421</v>
      </c>
    </row>
    <row r="140" customFormat="false" ht="15" hidden="false" customHeight="false" outlineLevel="0" collapsed="false">
      <c r="A140" s="14" t="s">
        <v>309</v>
      </c>
      <c r="B140" s="14" t="n">
        <v>3</v>
      </c>
      <c r="C140" s="14" t="s">
        <v>182</v>
      </c>
      <c r="D140" s="14" t="n">
        <v>5</v>
      </c>
      <c r="E140" s="14" t="n">
        <v>12.71</v>
      </c>
      <c r="F140" s="31" t="n">
        <v>0.9461</v>
      </c>
      <c r="G140" s="31" t="n">
        <v>0.3965</v>
      </c>
      <c r="H140" s="25" t="n">
        <v>309150.89</v>
      </c>
      <c r="I140" s="25" t="n">
        <v>115971.36</v>
      </c>
      <c r="J140" s="32" t="n">
        <f aca="false">F140*G140*H140</f>
        <v>115971.356011999</v>
      </c>
      <c r="K140" s="32" t="n">
        <f aca="false">J140-I140</f>
        <v>-0.00398800148104783</v>
      </c>
      <c r="L140" s="28" t="n">
        <f aca="false">IF(B140=1,12,IF(B140=2,MIN(MAX(D140,1),60),6))</f>
        <v>6</v>
      </c>
      <c r="M140" s="11" t="n">
        <f aca="false">IF(B140=3,1,IFERROR(INDEX(PD_TermStructure!$C$2:$C$241,MATCH(C140&amp;"|"&amp;L140,PD_TermStructure!$D$2:$D$241,0)),0))</f>
        <v>1</v>
      </c>
      <c r="N140" s="22" t="n">
        <f aca="false">(1+E140/100)^(-(L140/12)/2)</f>
        <v>0.970530945668665</v>
      </c>
      <c r="O140" s="32" t="n">
        <f aca="false">IF(H140&lt;=0,0,M140*Assumptions!$B$3*H140*N140)</f>
        <v>124432.669923923</v>
      </c>
      <c r="P140" s="25" t="n">
        <v>124432.67</v>
      </c>
      <c r="Q140" s="32" t="n">
        <f aca="false">O140-P140</f>
        <v>-7.60772236390039E-005</v>
      </c>
    </row>
    <row r="141" customFormat="false" ht="15" hidden="false" customHeight="false" outlineLevel="0" collapsed="false">
      <c r="A141" s="14" t="s">
        <v>310</v>
      </c>
      <c r="B141" s="14" t="n">
        <v>2</v>
      </c>
      <c r="C141" s="14" t="s">
        <v>156</v>
      </c>
      <c r="D141" s="14" t="n">
        <v>82</v>
      </c>
      <c r="E141" s="14" t="n">
        <v>13.02</v>
      </c>
      <c r="F141" s="31" t="n">
        <v>0.1367</v>
      </c>
      <c r="G141" s="31" t="n">
        <v>0.4326</v>
      </c>
      <c r="H141" s="25" t="n">
        <v>320897.49</v>
      </c>
      <c r="I141" s="25" t="n">
        <v>18976.73</v>
      </c>
      <c r="J141" s="32" t="n">
        <f aca="false">F141*G141*H141</f>
        <v>18976.7287455858</v>
      </c>
      <c r="K141" s="32" t="n">
        <f aca="false">J141-I141</f>
        <v>-0.0012544142009574</v>
      </c>
      <c r="L141" s="28" t="n">
        <f aca="false">IF(B141=1,12,IF(B141=2,MIN(MAX(D141,1),60),6))</f>
        <v>60</v>
      </c>
      <c r="M141" s="11" t="n">
        <f aca="false">IF(B141=3,1,IFERROR(INDEX(PD_TermStructure!$C$2:$C$241,MATCH(C141&amp;"|"&amp;L141,PD_TermStructure!$D$2:$D$241,0)),0))</f>
        <v>1</v>
      </c>
      <c r="N141" s="22" t="n">
        <f aca="false">(1+E141/100)^(-(L141/12)/2)</f>
        <v>0.736396545621389</v>
      </c>
      <c r="O141" s="32" t="n">
        <f aca="false">IF(H141&lt;=0,0,M141*Assumptions!$B$3*H141*N141)</f>
        <v>98001.4708565497</v>
      </c>
      <c r="P141" s="25" t="n">
        <v>98001.47</v>
      </c>
      <c r="Q141" s="32" t="n">
        <f aca="false">O141-P141</f>
        <v>0.000856549697346054</v>
      </c>
    </row>
    <row r="142" customFormat="false" ht="15" hidden="false" customHeight="false" outlineLevel="0" collapsed="false">
      <c r="A142" s="14" t="s">
        <v>311</v>
      </c>
      <c r="B142" s="14" t="n">
        <v>1</v>
      </c>
      <c r="C142" s="14" t="s">
        <v>154</v>
      </c>
      <c r="D142" s="14" t="n">
        <v>8</v>
      </c>
      <c r="E142" s="14" t="n">
        <v>11.84</v>
      </c>
      <c r="F142" s="31" t="n">
        <v>0.0203</v>
      </c>
      <c r="G142" s="31" t="n">
        <v>0.37</v>
      </c>
      <c r="H142" s="25" t="n">
        <v>164132.66</v>
      </c>
      <c r="I142" s="25" t="n">
        <v>1232.8</v>
      </c>
      <c r="J142" s="32" t="n">
        <f aca="false">F142*G142*H142</f>
        <v>1232.80040926</v>
      </c>
      <c r="K142" s="32" t="n">
        <f aca="false">J142-I142</f>
        <v>0.000409259999969436</v>
      </c>
      <c r="L142" s="28" t="n">
        <f aca="false">IF(B142=1,12,IF(B142=2,MIN(MAX(D142,1),60),6))</f>
        <v>12</v>
      </c>
      <c r="M142" s="11" t="n">
        <f aca="false">IF(B142=3,1,IFERROR(INDEX(PD_TermStructure!$C$2:$C$241,MATCH(C142&amp;"|"&amp;L142,PD_TermStructure!$D$2:$D$241,0)),0))</f>
        <v>0.109872</v>
      </c>
      <c r="N142" s="22" t="n">
        <f aca="false">(1+E142/100)^(-(L142/12)/2)</f>
        <v>0.945586843090292</v>
      </c>
      <c r="O142" s="32" t="n">
        <f aca="false">IF(H142&lt;=0,0,M142*Assumptions!$B$3*H142*N142)</f>
        <v>7071.93059635819</v>
      </c>
      <c r="P142" s="25" t="n">
        <v>7071.93</v>
      </c>
      <c r="Q142" s="32" t="n">
        <f aca="false">O142-P142</f>
        <v>0.000596358186157886</v>
      </c>
    </row>
    <row r="143" customFormat="false" ht="15" hidden="false" customHeight="false" outlineLevel="0" collapsed="false">
      <c r="A143" s="14" t="s">
        <v>312</v>
      </c>
      <c r="B143" s="14" t="n">
        <v>1</v>
      </c>
      <c r="C143" s="14" t="s">
        <v>154</v>
      </c>
      <c r="D143" s="14" t="n">
        <v>0</v>
      </c>
      <c r="E143" s="14" t="n">
        <v>10.06</v>
      </c>
      <c r="F143" s="31" t="n">
        <v>0.024</v>
      </c>
      <c r="G143" s="31" t="n">
        <v>0.3734</v>
      </c>
      <c r="H143" s="25" t="n">
        <v>0</v>
      </c>
      <c r="I143" s="25" t="n">
        <v>0</v>
      </c>
      <c r="J143" s="32" t="n">
        <f aca="false">F143*G143*H143</f>
        <v>0</v>
      </c>
      <c r="K143" s="32" t="n">
        <f aca="false">J143-I143</f>
        <v>0</v>
      </c>
      <c r="L143" s="28" t="n">
        <f aca="false">IF(B143=1,12,IF(B143=2,MIN(MAX(D143,1),60),6))</f>
        <v>12</v>
      </c>
      <c r="M143" s="11" t="n">
        <f aca="false">IF(B143=3,1,IFERROR(INDEX(PD_TermStructure!$C$2:$C$241,MATCH(C143&amp;"|"&amp;L143,PD_TermStructure!$D$2:$D$241,0)),0))</f>
        <v>0.109872</v>
      </c>
      <c r="N143" s="22" t="n">
        <f aca="false">(1+E143/100)^(-(L143/12)/2)</f>
        <v>0.953202660323707</v>
      </c>
      <c r="O143" s="32" t="n">
        <f aca="false">IF(H143&lt;=0,0,M143*Assumptions!$B$3*H143*N143)</f>
        <v>0</v>
      </c>
      <c r="P143" s="25" t="n">
        <v>0</v>
      </c>
      <c r="Q143" s="32" t="n">
        <f aca="false">O143-P143</f>
        <v>0</v>
      </c>
    </row>
    <row r="144" customFormat="false" ht="15" hidden="false" customHeight="false" outlineLevel="0" collapsed="false">
      <c r="A144" s="14" t="s">
        <v>313</v>
      </c>
      <c r="B144" s="14" t="n">
        <v>1</v>
      </c>
      <c r="C144" s="14" t="s">
        <v>154</v>
      </c>
      <c r="D144" s="14" t="n">
        <v>35</v>
      </c>
      <c r="E144" s="14" t="n">
        <v>12.86</v>
      </c>
      <c r="F144" s="31" t="n">
        <v>0.0189</v>
      </c>
      <c r="G144" s="31" t="n">
        <v>0.54</v>
      </c>
      <c r="H144" s="25" t="n">
        <v>1097770.74</v>
      </c>
      <c r="I144" s="25" t="n">
        <v>11203.85</v>
      </c>
      <c r="J144" s="32" t="n">
        <f aca="false">F144*G144*H144</f>
        <v>11203.84817244</v>
      </c>
      <c r="K144" s="32" t="n">
        <f aca="false">J144-I144</f>
        <v>-0.00182755999958317</v>
      </c>
      <c r="L144" s="28" t="n">
        <f aca="false">IF(B144=1,12,IF(B144=2,MIN(MAX(D144,1),60),6))</f>
        <v>12</v>
      </c>
      <c r="M144" s="11" t="n">
        <f aca="false">IF(B144=3,1,IFERROR(INDEX(PD_TermStructure!$C$2:$C$241,MATCH(C144&amp;"|"&amp;L144,PD_TermStructure!$D$2:$D$241,0)),0))</f>
        <v>0.109872</v>
      </c>
      <c r="N144" s="22" t="n">
        <f aca="false">(1+E144/100)^(-(L144/12)/2)</f>
        <v>0.941304157874842</v>
      </c>
      <c r="O144" s="32" t="n">
        <f aca="false">IF(H144&lt;=0,0,M144*Assumptions!$B$3*H144*N144)</f>
        <v>47085.0666069608</v>
      </c>
      <c r="P144" s="25" t="n">
        <v>47085.07</v>
      </c>
      <c r="Q144" s="32" t="n">
        <f aca="false">O144-P144</f>
        <v>-0.00339303924556589</v>
      </c>
    </row>
    <row r="145" customFormat="false" ht="15" hidden="false" customHeight="false" outlineLevel="0" collapsed="false">
      <c r="A145" s="14" t="s">
        <v>314</v>
      </c>
      <c r="B145" s="14" t="n">
        <v>1</v>
      </c>
      <c r="C145" s="14" t="s">
        <v>154</v>
      </c>
      <c r="D145" s="14" t="n">
        <v>32</v>
      </c>
      <c r="E145" s="14" t="n">
        <v>11.67</v>
      </c>
      <c r="F145" s="31" t="n">
        <v>0.0184</v>
      </c>
      <c r="G145" s="31" t="n">
        <v>0.5246</v>
      </c>
      <c r="H145" s="25" t="n">
        <v>258624.92</v>
      </c>
      <c r="I145" s="25" t="n">
        <v>2496.41</v>
      </c>
      <c r="J145" s="32" t="n">
        <f aca="false">F145*G145*H145</f>
        <v>2496.4132477888</v>
      </c>
      <c r="K145" s="32" t="n">
        <f aca="false">J145-I145</f>
        <v>0.00324778879985388</v>
      </c>
      <c r="L145" s="28" t="n">
        <f aca="false">IF(B145=1,12,IF(B145=2,MIN(MAX(D145,1),60),6))</f>
        <v>12</v>
      </c>
      <c r="M145" s="11" t="n">
        <f aca="false">IF(B145=3,1,IFERROR(INDEX(PD_TermStructure!$C$2:$C$241,MATCH(C145&amp;"|"&amp;L145,PD_TermStructure!$D$2:$D$241,0)),0))</f>
        <v>0.109872</v>
      </c>
      <c r="N145" s="22" t="n">
        <f aca="false">(1+E145/100)^(-(L145/12)/2)</f>
        <v>0.9463063229452</v>
      </c>
      <c r="O145" s="32" t="n">
        <f aca="false">IF(H145&lt;=0,0,M145*Assumptions!$B$3*H145*N145)</f>
        <v>11151.7666287651</v>
      </c>
      <c r="P145" s="25" t="n">
        <v>11151.77</v>
      </c>
      <c r="Q145" s="32" t="n">
        <f aca="false">O145-P145</f>
        <v>-0.00337123493591207</v>
      </c>
    </row>
    <row r="146" customFormat="false" ht="15" hidden="false" customHeight="false" outlineLevel="0" collapsed="false">
      <c r="A146" s="14" t="s">
        <v>315</v>
      </c>
      <c r="B146" s="14" t="n">
        <v>1</v>
      </c>
      <c r="C146" s="14" t="s">
        <v>154</v>
      </c>
      <c r="D146" s="14" t="n">
        <v>36</v>
      </c>
      <c r="E146" s="14" t="n">
        <v>7.76</v>
      </c>
      <c r="F146" s="31" t="n">
        <v>0.0205</v>
      </c>
      <c r="G146" s="31" t="n">
        <v>0.3949</v>
      </c>
      <c r="H146" s="25" t="n">
        <v>636937.06</v>
      </c>
      <c r="I146" s="25" t="n">
        <v>5156.29</v>
      </c>
      <c r="J146" s="32" t="n">
        <f aca="false">F146*G146*H146</f>
        <v>5156.292122377</v>
      </c>
      <c r="K146" s="32" t="n">
        <f aca="false">J146-I146</f>
        <v>0.00212237700088735</v>
      </c>
      <c r="L146" s="28" t="n">
        <f aca="false">IF(B146=1,12,IF(B146=2,MIN(MAX(D146,1),60),6))</f>
        <v>12</v>
      </c>
      <c r="M146" s="11" t="n">
        <f aca="false">IF(B146=3,1,IFERROR(INDEX(PD_TermStructure!$C$2:$C$241,MATCH(C146&amp;"|"&amp;L146,PD_TermStructure!$D$2:$D$241,0)),0))</f>
        <v>0.109872</v>
      </c>
      <c r="N146" s="22" t="n">
        <f aca="false">(1+E146/100)^(-(L146/12)/2)</f>
        <v>0.963321401066146</v>
      </c>
      <c r="O146" s="32" t="n">
        <f aca="false">IF(H146&lt;=0,0,M146*Assumptions!$B$3*H146*N146)</f>
        <v>27958.2052424349</v>
      </c>
      <c r="P146" s="25" t="n">
        <v>27958.21</v>
      </c>
      <c r="Q146" s="32" t="n">
        <f aca="false">O146-P146</f>
        <v>-0.00475756512605585</v>
      </c>
    </row>
    <row r="147" customFormat="false" ht="15" hidden="false" customHeight="false" outlineLevel="0" collapsed="false">
      <c r="A147" s="14" t="s">
        <v>316</v>
      </c>
      <c r="B147" s="14" t="n">
        <v>1</v>
      </c>
      <c r="C147" s="14" t="s">
        <v>154</v>
      </c>
      <c r="D147" s="14" t="n">
        <v>53</v>
      </c>
      <c r="E147" s="14" t="n">
        <v>8.08</v>
      </c>
      <c r="F147" s="31" t="n">
        <v>0.0169</v>
      </c>
      <c r="G147" s="31" t="n">
        <v>0.4299</v>
      </c>
      <c r="H147" s="25" t="n">
        <v>1694559.43</v>
      </c>
      <c r="I147" s="25" t="n">
        <v>12311.5</v>
      </c>
      <c r="J147" s="32" t="n">
        <f aca="false">F147*G147*H147</f>
        <v>12311.4995723733</v>
      </c>
      <c r="K147" s="32" t="n">
        <f aca="false">J147-I147</f>
        <v>-0.000427626700911787</v>
      </c>
      <c r="L147" s="28" t="n">
        <f aca="false">IF(B147=1,12,IF(B147=2,MIN(MAX(D147,1),60),6))</f>
        <v>12</v>
      </c>
      <c r="M147" s="11" t="n">
        <f aca="false">IF(B147=3,1,IFERROR(INDEX(PD_TermStructure!$C$2:$C$241,MATCH(C147&amp;"|"&amp;L147,PD_TermStructure!$D$2:$D$241,0)),0))</f>
        <v>0.109872</v>
      </c>
      <c r="N147" s="22" t="n">
        <f aca="false">(1+E147/100)^(-(L147/12)/2)</f>
        <v>0.961894257466101</v>
      </c>
      <c r="O147" s="32" t="n">
        <f aca="false">IF(H147&lt;=0,0,M147*Assumptions!$B$3*H147*N147)</f>
        <v>74272.0990191542</v>
      </c>
      <c r="P147" s="25" t="n">
        <v>74272.1</v>
      </c>
      <c r="Q147" s="32" t="n">
        <f aca="false">O147-P147</f>
        <v>-0.000980845783487894</v>
      </c>
    </row>
    <row r="148" customFormat="false" ht="15" hidden="false" customHeight="false" outlineLevel="0" collapsed="false">
      <c r="A148" s="14" t="s">
        <v>317</v>
      </c>
      <c r="B148" s="14" t="n">
        <v>1</v>
      </c>
      <c r="C148" s="14" t="s">
        <v>154</v>
      </c>
      <c r="D148" s="14" t="n">
        <v>27</v>
      </c>
      <c r="E148" s="14" t="n">
        <v>11.81</v>
      </c>
      <c r="F148" s="31" t="n">
        <v>0.0181</v>
      </c>
      <c r="G148" s="31" t="n">
        <v>0.5913</v>
      </c>
      <c r="H148" s="25" t="n">
        <v>317072.62</v>
      </c>
      <c r="I148" s="25" t="n">
        <v>3393.48</v>
      </c>
      <c r="J148" s="32" t="n">
        <f aca="false">F148*G148*H148</f>
        <v>3393.4792277286</v>
      </c>
      <c r="K148" s="32" t="n">
        <f aca="false">J148-I148</f>
        <v>-0.000772271399455349</v>
      </c>
      <c r="L148" s="28" t="n">
        <f aca="false">IF(B148=1,12,IF(B148=2,MIN(MAX(D148,1),60),6))</f>
        <v>12</v>
      </c>
      <c r="M148" s="11" t="n">
        <f aca="false">IF(B148=3,1,IFERROR(INDEX(PD_TermStructure!$C$2:$C$241,MATCH(C148&amp;"|"&amp;L148,PD_TermStructure!$D$2:$D$241,0)),0))</f>
        <v>0.109872</v>
      </c>
      <c r="N148" s="22" t="n">
        <f aca="false">(1+E148/100)^(-(L148/12)/2)</f>
        <v>0.945713690879862</v>
      </c>
      <c r="O148" s="32" t="n">
        <f aca="false">IF(H148&lt;=0,0,M148*Assumptions!$B$3*H148*N148)</f>
        <v>13663.4376297203</v>
      </c>
      <c r="P148" s="25" t="n">
        <v>13663.44</v>
      </c>
      <c r="Q148" s="32" t="n">
        <f aca="false">O148-P148</f>
        <v>-0.00237027969160408</v>
      </c>
    </row>
    <row r="149" customFormat="false" ht="15" hidden="false" customHeight="false" outlineLevel="0" collapsed="false">
      <c r="A149" s="14" t="s">
        <v>318</v>
      </c>
      <c r="B149" s="14" t="n">
        <v>1</v>
      </c>
      <c r="C149" s="14" t="s">
        <v>154</v>
      </c>
      <c r="D149" s="14" t="n">
        <v>44</v>
      </c>
      <c r="E149" s="14" t="n">
        <v>11.58</v>
      </c>
      <c r="F149" s="31" t="n">
        <v>0.0258</v>
      </c>
      <c r="G149" s="31" t="n">
        <v>0.5026</v>
      </c>
      <c r="H149" s="25" t="n">
        <v>829647.83</v>
      </c>
      <c r="I149" s="25" t="n">
        <v>10758.11</v>
      </c>
      <c r="J149" s="32" t="n">
        <f aca="false">F149*G149*H149</f>
        <v>10758.1097834364</v>
      </c>
      <c r="K149" s="32" t="n">
        <f aca="false">J149-I149</f>
        <v>-0.00021656360149791</v>
      </c>
      <c r="L149" s="28" t="n">
        <f aca="false">IF(B149=1,12,IF(B149=2,MIN(MAX(D149,1),60),6))</f>
        <v>12</v>
      </c>
      <c r="M149" s="11" t="n">
        <f aca="false">IF(B149=3,1,IFERROR(INDEX(PD_TermStructure!$C$2:$C$241,MATCH(C149&amp;"|"&amp;L149,PD_TermStructure!$D$2:$D$241,0)),0))</f>
        <v>0.109872</v>
      </c>
      <c r="N149" s="22" t="n">
        <f aca="false">(1+E149/100)^(-(L149/12)/2)</f>
        <v>0.946687889543287</v>
      </c>
      <c r="O149" s="32" t="n">
        <f aca="false">IF(H149&lt;=0,0,M149*Assumptions!$B$3*H149*N149)</f>
        <v>35788.3902358806</v>
      </c>
      <c r="P149" s="25" t="n">
        <v>35788.39</v>
      </c>
      <c r="Q149" s="32" t="n">
        <f aca="false">O149-P149</f>
        <v>0.000235880615946371</v>
      </c>
    </row>
    <row r="150" customFormat="false" ht="15" hidden="false" customHeight="false" outlineLevel="0" collapsed="false">
      <c r="A150" s="14" t="s">
        <v>319</v>
      </c>
      <c r="B150" s="14" t="n">
        <v>1</v>
      </c>
      <c r="C150" s="14" t="s">
        <v>154</v>
      </c>
      <c r="D150" s="14" t="n">
        <v>45</v>
      </c>
      <c r="E150" s="14" t="n">
        <v>9.99</v>
      </c>
      <c r="F150" s="31" t="n">
        <v>0.019</v>
      </c>
      <c r="G150" s="31" t="n">
        <v>0.5219</v>
      </c>
      <c r="H150" s="25" t="n">
        <v>498491.18</v>
      </c>
      <c r="I150" s="25" t="n">
        <v>4943.09</v>
      </c>
      <c r="J150" s="32" t="n">
        <f aca="false">F150*G150*H150</f>
        <v>4943.088389998</v>
      </c>
      <c r="K150" s="32" t="n">
        <f aca="false">J150-I150</f>
        <v>-0.00161000200023409</v>
      </c>
      <c r="L150" s="28" t="n">
        <f aca="false">IF(B150=1,12,IF(B150=2,MIN(MAX(D150,1),60),6))</f>
        <v>12</v>
      </c>
      <c r="M150" s="11" t="n">
        <f aca="false">IF(B150=3,1,IFERROR(INDEX(PD_TermStructure!$C$2:$C$241,MATCH(C150&amp;"|"&amp;L150,PD_TermStructure!$D$2:$D$241,0)),0))</f>
        <v>0.109872</v>
      </c>
      <c r="N150" s="22" t="n">
        <f aca="false">(1+E150/100)^(-(L150/12)/2)</f>
        <v>0.953505931409364</v>
      </c>
      <c r="O150" s="32" t="n">
        <f aca="false">IF(H150&lt;=0,0,M150*Assumptions!$B$3*H150*N150)</f>
        <v>21658.2039340747</v>
      </c>
      <c r="P150" s="25" t="n">
        <v>21658.2</v>
      </c>
      <c r="Q150" s="32" t="n">
        <f aca="false">O150-P150</f>
        <v>0.00393407472074614</v>
      </c>
    </row>
    <row r="151" customFormat="false" ht="15" hidden="false" customHeight="false" outlineLevel="0" collapsed="false">
      <c r="A151" s="14" t="s">
        <v>320</v>
      </c>
      <c r="B151" s="14" t="n">
        <v>1</v>
      </c>
      <c r="C151" s="14" t="s">
        <v>154</v>
      </c>
      <c r="D151" s="14" t="n">
        <v>42</v>
      </c>
      <c r="E151" s="14" t="n">
        <v>10.51</v>
      </c>
      <c r="F151" s="31" t="n">
        <v>0.0229</v>
      </c>
      <c r="G151" s="31" t="n">
        <v>0.5965</v>
      </c>
      <c r="H151" s="25" t="n">
        <v>2275296.45</v>
      </c>
      <c r="I151" s="25" t="n">
        <v>31080.21</v>
      </c>
      <c r="J151" s="32" t="n">
        <f aca="false">F151*G151*H151</f>
        <v>31080.2082125325</v>
      </c>
      <c r="K151" s="32" t="n">
        <f aca="false">J151-I151</f>
        <v>-0.00178746749224956</v>
      </c>
      <c r="L151" s="28" t="n">
        <f aca="false">IF(B151=1,12,IF(B151=2,MIN(MAX(D151,1),60),6))</f>
        <v>12</v>
      </c>
      <c r="M151" s="11" t="n">
        <f aca="false">IF(B151=3,1,IFERROR(INDEX(PD_TermStructure!$C$2:$C$241,MATCH(C151&amp;"|"&amp;L151,PD_TermStructure!$D$2:$D$241,0)),0))</f>
        <v>0.109872</v>
      </c>
      <c r="N151" s="22" t="n">
        <f aca="false">(1+E151/100)^(-(L151/12)/2)</f>
        <v>0.951259945846314</v>
      </c>
      <c r="O151" s="32" t="n">
        <f aca="false">IF(H151&lt;=0,0,M151*Assumptions!$B$3*H151*N151)</f>
        <v>98623.1253055167</v>
      </c>
      <c r="P151" s="25" t="n">
        <v>98623.13</v>
      </c>
      <c r="Q151" s="32" t="n">
        <f aca="false">O151-P151</f>
        <v>-0.00469448331568856</v>
      </c>
    </row>
    <row r="152" customFormat="false" ht="15" hidden="false" customHeight="false" outlineLevel="0" collapsed="false">
      <c r="A152" s="14" t="s">
        <v>321</v>
      </c>
      <c r="B152" s="14" t="n">
        <v>1</v>
      </c>
      <c r="C152" s="14" t="s">
        <v>154</v>
      </c>
      <c r="D152" s="14" t="n">
        <v>32</v>
      </c>
      <c r="E152" s="14" t="n">
        <v>10.01</v>
      </c>
      <c r="F152" s="31" t="n">
        <v>0.0231</v>
      </c>
      <c r="G152" s="31" t="n">
        <v>0.3698</v>
      </c>
      <c r="H152" s="25" t="n">
        <v>606414.86</v>
      </c>
      <c r="I152" s="25" t="n">
        <v>5180.23</v>
      </c>
      <c r="J152" s="32" t="n">
        <f aca="false">F152*G152*H152</f>
        <v>5180.2261717668</v>
      </c>
      <c r="K152" s="32" t="n">
        <f aca="false">J152-I152</f>
        <v>-0.00382823319978343</v>
      </c>
      <c r="L152" s="28" t="n">
        <f aca="false">IF(B152=1,12,IF(B152=2,MIN(MAX(D152,1),60),6))</f>
        <v>12</v>
      </c>
      <c r="M152" s="11" t="n">
        <f aca="false">IF(B152=3,1,IFERROR(INDEX(PD_TermStructure!$C$2:$C$241,MATCH(C152&amp;"|"&amp;L152,PD_TermStructure!$D$2:$D$241,0)),0))</f>
        <v>0.109872</v>
      </c>
      <c r="N152" s="22" t="n">
        <f aca="false">(1+E152/100)^(-(L152/12)/2)</f>
        <v>0.953419252991712</v>
      </c>
      <c r="O152" s="32" t="n">
        <f aca="false">IF(H152&lt;=0,0,M152*Assumptions!$B$3*H152*N152)</f>
        <v>26344.8247445968</v>
      </c>
      <c r="P152" s="25" t="n">
        <v>26344.82</v>
      </c>
      <c r="Q152" s="32" t="n">
        <f aca="false">O152-P152</f>
        <v>0.0047445967902604</v>
      </c>
    </row>
    <row r="153" customFormat="false" ht="15" hidden="false" customHeight="false" outlineLevel="0" collapsed="false">
      <c r="A153" s="14" t="s">
        <v>322</v>
      </c>
      <c r="B153" s="14" t="n">
        <v>3</v>
      </c>
      <c r="C153" s="14" t="s">
        <v>279</v>
      </c>
      <c r="D153" s="14" t="n">
        <v>31</v>
      </c>
      <c r="E153" s="14" t="n">
        <v>10.26</v>
      </c>
      <c r="F153" s="31" t="n">
        <v>0.6799</v>
      </c>
      <c r="G153" s="31" t="n">
        <v>0.4383</v>
      </c>
      <c r="H153" s="25" t="n">
        <v>622288.56</v>
      </c>
      <c r="I153" s="25" t="n">
        <v>185442.1</v>
      </c>
      <c r="J153" s="32" t="n">
        <f aca="false">F153*G153*H153</f>
        <v>185442.096669055</v>
      </c>
      <c r="K153" s="32" t="n">
        <f aca="false">J153-I153</f>
        <v>-0.00333094477537088</v>
      </c>
      <c r="L153" s="28" t="n">
        <f aca="false">IF(B153=1,12,IF(B153=2,MIN(MAX(D153,1),60),6))</f>
        <v>6</v>
      </c>
      <c r="M153" s="11" t="n">
        <f aca="false">IF(B153=3,1,IFERROR(INDEX(PD_TermStructure!$C$2:$C$241,MATCH(C153&amp;"|"&amp;L153,PD_TermStructure!$D$2:$D$241,0)),0))</f>
        <v>1</v>
      </c>
      <c r="N153" s="22" t="n">
        <f aca="false">(1+E153/100)^(-(L153/12)/2)</f>
        <v>0.975877944949586</v>
      </c>
      <c r="O153" s="32" t="n">
        <f aca="false">IF(H153&lt;=0,0,M153*Assumptions!$B$3*H153*N153)</f>
        <v>251849.939682733</v>
      </c>
      <c r="P153" s="25" t="n">
        <v>251849.94</v>
      </c>
      <c r="Q153" s="32" t="n">
        <f aca="false">O153-P153</f>
        <v>-0.000317267345963046</v>
      </c>
    </row>
    <row r="154" customFormat="false" ht="15" hidden="false" customHeight="false" outlineLevel="0" collapsed="false">
      <c r="A154" s="14" t="s">
        <v>323</v>
      </c>
      <c r="B154" s="14" t="n">
        <v>1</v>
      </c>
      <c r="C154" s="14" t="s">
        <v>154</v>
      </c>
      <c r="D154" s="14" t="n">
        <v>60</v>
      </c>
      <c r="E154" s="14" t="n">
        <v>7.67</v>
      </c>
      <c r="F154" s="31" t="n">
        <v>0.0185</v>
      </c>
      <c r="G154" s="31" t="n">
        <v>0.4642</v>
      </c>
      <c r="H154" s="25" t="n">
        <v>529676.61</v>
      </c>
      <c r="I154" s="25" t="n">
        <v>4548.7</v>
      </c>
      <c r="J154" s="32" t="n">
        <f aca="false">F154*G154*H154</f>
        <v>4548.703823697</v>
      </c>
      <c r="K154" s="32" t="n">
        <f aca="false">J154-I154</f>
        <v>0.00382369700037088</v>
      </c>
      <c r="L154" s="28" t="n">
        <f aca="false">IF(B154=1,12,IF(B154=2,MIN(MAX(D154,1),60),6))</f>
        <v>12</v>
      </c>
      <c r="M154" s="11" t="n">
        <f aca="false">IF(B154=3,1,IFERROR(INDEX(PD_TermStructure!$C$2:$C$241,MATCH(C154&amp;"|"&amp;L154,PD_TermStructure!$D$2:$D$241,0)),0))</f>
        <v>0.109872</v>
      </c>
      <c r="N154" s="22" t="n">
        <f aca="false">(1+E154/100)^(-(L154/12)/2)</f>
        <v>0.963723931093212</v>
      </c>
      <c r="O154" s="32" t="n">
        <f aca="false">IF(H154&lt;=0,0,M154*Assumptions!$B$3*H154*N154)</f>
        <v>23259.7477208437</v>
      </c>
      <c r="P154" s="25" t="n">
        <v>23259.75</v>
      </c>
      <c r="Q154" s="32" t="n">
        <f aca="false">O154-P154</f>
        <v>-0.00227915629147901</v>
      </c>
    </row>
    <row r="155" customFormat="false" ht="15" hidden="false" customHeight="false" outlineLevel="0" collapsed="false">
      <c r="A155" s="14" t="s">
        <v>324</v>
      </c>
      <c r="B155" s="14" t="n">
        <v>1</v>
      </c>
      <c r="C155" s="14" t="s">
        <v>154</v>
      </c>
      <c r="D155" s="14" t="n">
        <v>15</v>
      </c>
      <c r="E155" s="14" t="n">
        <v>14.22</v>
      </c>
      <c r="F155" s="31" t="n">
        <v>0.0246</v>
      </c>
      <c r="G155" s="31" t="n">
        <v>0.4334</v>
      </c>
      <c r="H155" s="25" t="n">
        <v>304164.5</v>
      </c>
      <c r="I155" s="25" t="n">
        <v>3242.89</v>
      </c>
      <c r="J155" s="32" t="n">
        <f aca="false">F155*G155*H155</f>
        <v>3242.89239978</v>
      </c>
      <c r="K155" s="32" t="n">
        <f aca="false">J155-I155</f>
        <v>0.00239977999990515</v>
      </c>
      <c r="L155" s="28" t="n">
        <f aca="false">IF(B155=1,12,IF(B155=2,MIN(MAX(D155,1),60),6))</f>
        <v>12</v>
      </c>
      <c r="M155" s="11" t="n">
        <f aca="false">IF(B155=3,1,IFERROR(INDEX(PD_TermStructure!$C$2:$C$241,MATCH(C155&amp;"|"&amp;L155,PD_TermStructure!$D$2:$D$241,0)),0))</f>
        <v>0.109872</v>
      </c>
      <c r="N155" s="22" t="n">
        <f aca="false">(1+E155/100)^(-(L155/12)/2)</f>
        <v>0.935683394350523</v>
      </c>
      <c r="O155" s="32" t="n">
        <f aca="false">IF(H155&lt;=0,0,M155*Assumptions!$B$3*H155*N155)</f>
        <v>12968.1793462468</v>
      </c>
      <c r="P155" s="25" t="n">
        <v>12968.18</v>
      </c>
      <c r="Q155" s="32" t="n">
        <f aca="false">O155-P155</f>
        <v>-0.00065375324265915</v>
      </c>
    </row>
    <row r="156" customFormat="false" ht="15" hidden="false" customHeight="false" outlineLevel="0" collapsed="false">
      <c r="A156" s="14" t="s">
        <v>325</v>
      </c>
      <c r="B156" s="14" t="n">
        <v>1</v>
      </c>
      <c r="C156" s="14" t="s">
        <v>154</v>
      </c>
      <c r="D156" s="14" t="n">
        <v>5</v>
      </c>
      <c r="E156" s="14" t="n">
        <v>8.63</v>
      </c>
      <c r="F156" s="31" t="n">
        <v>0.0175</v>
      </c>
      <c r="G156" s="31" t="n">
        <v>0.3904</v>
      </c>
      <c r="H156" s="25" t="n">
        <v>29708.95</v>
      </c>
      <c r="I156" s="25" t="n">
        <v>202.97</v>
      </c>
      <c r="J156" s="32" t="n">
        <f aca="false">F156*G156*H156</f>
        <v>202.9715464</v>
      </c>
      <c r="K156" s="32" t="n">
        <f aca="false">J156-I156</f>
        <v>0.00154640000005202</v>
      </c>
      <c r="L156" s="28" t="n">
        <f aca="false">IF(B156=1,12,IF(B156=2,MIN(MAX(D156,1),60),6))</f>
        <v>12</v>
      </c>
      <c r="M156" s="11" t="n">
        <f aca="false">IF(B156=3,1,IFERROR(INDEX(PD_TermStructure!$C$2:$C$241,MATCH(C156&amp;"|"&amp;L156,PD_TermStructure!$D$2:$D$241,0)),0))</f>
        <v>0.109872</v>
      </c>
      <c r="N156" s="22" t="n">
        <f aca="false">(1+E156/100)^(-(L156/12)/2)</f>
        <v>0.95945610417234</v>
      </c>
      <c r="O156" s="32" t="n">
        <f aca="false">IF(H156&lt;=0,0,M156*Assumptions!$B$3*H156*N156)</f>
        <v>1298.8349734317</v>
      </c>
      <c r="P156" s="25" t="n">
        <v>1298.83</v>
      </c>
      <c r="Q156" s="32" t="n">
        <f aca="false">O156-P156</f>
        <v>0.00497343170059139</v>
      </c>
    </row>
    <row r="157" customFormat="false" ht="15" hidden="false" customHeight="false" outlineLevel="0" collapsed="false">
      <c r="A157" s="14" t="s">
        <v>326</v>
      </c>
      <c r="B157" s="14" t="n">
        <v>1</v>
      </c>
      <c r="C157" s="14" t="s">
        <v>155</v>
      </c>
      <c r="D157" s="14" t="n">
        <v>22</v>
      </c>
      <c r="E157" s="14" t="n">
        <v>10.49</v>
      </c>
      <c r="F157" s="31" t="n">
        <v>0.0236</v>
      </c>
      <c r="G157" s="31" t="n">
        <v>0.6497</v>
      </c>
      <c r="H157" s="25" t="n">
        <v>627536.81</v>
      </c>
      <c r="I157" s="25" t="n">
        <v>9621.97</v>
      </c>
      <c r="J157" s="32" t="n">
        <f aca="false">F157*G157*H157</f>
        <v>9621.9717047852</v>
      </c>
      <c r="K157" s="32" t="n">
        <f aca="false">J157-I157</f>
        <v>0.00170478520340112</v>
      </c>
      <c r="L157" s="28" t="n">
        <f aca="false">IF(B157=1,12,IF(B157=2,MIN(MAX(D157,1),60),6))</f>
        <v>12</v>
      </c>
      <c r="M157" s="11" t="n">
        <f aca="false">IF(B157=3,1,IFERROR(INDEX(PD_TermStructure!$C$2:$C$241,MATCH(C157&amp;"|"&amp;L157,PD_TermStructure!$D$2:$D$241,0)),0))</f>
        <v>0.164153</v>
      </c>
      <c r="N157" s="22" t="n">
        <f aca="false">(1+E157/100)^(-(L157/12)/2)</f>
        <v>0.951346036614927</v>
      </c>
      <c r="O157" s="32" t="n">
        <f aca="false">IF(H157&lt;=0,0,M157*Assumptions!$B$3*H157*N157)</f>
        <v>40642.5617445068</v>
      </c>
      <c r="P157" s="25" t="n">
        <v>40642.56</v>
      </c>
      <c r="Q157" s="32" t="n">
        <f aca="false">O157-P157</f>
        <v>0.00174450680060545</v>
      </c>
    </row>
    <row r="158" customFormat="false" ht="15" hidden="false" customHeight="false" outlineLevel="0" collapsed="false">
      <c r="A158" s="14" t="s">
        <v>327</v>
      </c>
      <c r="B158" s="14" t="n">
        <v>1</v>
      </c>
      <c r="C158" s="14" t="s">
        <v>154</v>
      </c>
      <c r="D158" s="14" t="n">
        <v>32</v>
      </c>
      <c r="E158" s="14" t="n">
        <v>9.89</v>
      </c>
      <c r="F158" s="31" t="n">
        <v>0.024</v>
      </c>
      <c r="G158" s="31" t="n">
        <v>0.4398</v>
      </c>
      <c r="H158" s="25" t="n">
        <v>354483.42</v>
      </c>
      <c r="I158" s="25" t="n">
        <v>3741.64</v>
      </c>
      <c r="J158" s="32" t="n">
        <f aca="false">F158*G158*H158</f>
        <v>3741.643394784</v>
      </c>
      <c r="K158" s="32" t="n">
        <f aca="false">J158-I158</f>
        <v>0.00339478400019289</v>
      </c>
      <c r="L158" s="28" t="n">
        <f aca="false">IF(B158=1,12,IF(B158=2,MIN(MAX(D158,1),60),6))</f>
        <v>12</v>
      </c>
      <c r="M158" s="11" t="n">
        <f aca="false">IF(B158=3,1,IFERROR(INDEX(PD_TermStructure!$C$2:$C$241,MATCH(C158&amp;"|"&amp;L158,PD_TermStructure!$D$2:$D$241,0)),0))</f>
        <v>0.109872</v>
      </c>
      <c r="N158" s="22" t="n">
        <f aca="false">(1+E158/100)^(-(L158/12)/2)</f>
        <v>0.953939678386904</v>
      </c>
      <c r="O158" s="32" t="n">
        <f aca="false">IF(H158&lt;=0,0,M158*Assumptions!$B$3*H158*N158)</f>
        <v>15408.4304189866</v>
      </c>
      <c r="P158" s="25" t="n">
        <v>15408.43</v>
      </c>
      <c r="Q158" s="32" t="n">
        <f aca="false">O158-P158</f>
        <v>0.000418986552176648</v>
      </c>
    </row>
    <row r="159" customFormat="false" ht="15" hidden="false" customHeight="false" outlineLevel="0" collapsed="false">
      <c r="A159" s="14" t="s">
        <v>328</v>
      </c>
      <c r="B159" s="14" t="n">
        <v>1</v>
      </c>
      <c r="C159" s="14" t="s">
        <v>154</v>
      </c>
      <c r="D159" s="14" t="n">
        <v>62</v>
      </c>
      <c r="E159" s="14" t="n">
        <v>13.4</v>
      </c>
      <c r="F159" s="31" t="n">
        <v>0.0185</v>
      </c>
      <c r="G159" s="31" t="n">
        <v>0.3612</v>
      </c>
      <c r="H159" s="25" t="n">
        <v>342882.36</v>
      </c>
      <c r="I159" s="25" t="n">
        <v>2291.21</v>
      </c>
      <c r="J159" s="32" t="n">
        <f aca="false">F159*G159*H159</f>
        <v>2291.208505992</v>
      </c>
      <c r="K159" s="32" t="n">
        <f aca="false">J159-I159</f>
        <v>-0.00149400800000876</v>
      </c>
      <c r="L159" s="28" t="n">
        <f aca="false">IF(B159=1,12,IF(B159=2,MIN(MAX(D159,1),60),6))</f>
        <v>12</v>
      </c>
      <c r="M159" s="11" t="n">
        <f aca="false">IF(B159=3,1,IFERROR(INDEX(PD_TermStructure!$C$2:$C$241,MATCH(C159&amp;"|"&amp;L159,PD_TermStructure!$D$2:$D$241,0)),0))</f>
        <v>0.109872</v>
      </c>
      <c r="N159" s="22" t="n">
        <f aca="false">(1+E159/100)^(-(L159/12)/2)</f>
        <v>0.939060283031685</v>
      </c>
      <c r="O159" s="32" t="n">
        <f aca="false">IF(H159&lt;=0,0,M159*Assumptions!$B$3*H159*N159)</f>
        <v>14671.6911694424</v>
      </c>
      <c r="P159" s="25" t="n">
        <v>14671.69</v>
      </c>
      <c r="Q159" s="32" t="n">
        <f aca="false">O159-P159</f>
        <v>0.00116944238834549</v>
      </c>
    </row>
    <row r="160" customFormat="false" ht="15" hidden="false" customHeight="false" outlineLevel="0" collapsed="false">
      <c r="A160" s="14" t="s">
        <v>329</v>
      </c>
      <c r="B160" s="14" t="n">
        <v>2</v>
      </c>
      <c r="C160" s="14" t="s">
        <v>157</v>
      </c>
      <c r="D160" s="14" t="n">
        <v>71</v>
      </c>
      <c r="E160" s="14" t="n">
        <v>12.24</v>
      </c>
      <c r="F160" s="31" t="n">
        <v>0.13</v>
      </c>
      <c r="G160" s="31" t="n">
        <v>0.413</v>
      </c>
      <c r="H160" s="25" t="n">
        <v>835521.02</v>
      </c>
      <c r="I160" s="25" t="n">
        <v>44859.12</v>
      </c>
      <c r="J160" s="32" t="n">
        <f aca="false">F160*G160*H160</f>
        <v>44859.1235638</v>
      </c>
      <c r="K160" s="32" t="n">
        <f aca="false">J160-I160</f>
        <v>0.00356379999720957</v>
      </c>
      <c r="L160" s="28" t="n">
        <f aca="false">IF(B160=1,12,IF(B160=2,MIN(MAX(D160,1),60),6))</f>
        <v>60</v>
      </c>
      <c r="M160" s="11" t="n">
        <f aca="false">IF(B160=3,1,IFERROR(INDEX(PD_TermStructure!$C$2:$C$241,MATCH(C160&amp;"|"&amp;L160,PD_TermStructure!$D$2:$D$241,0)),0))</f>
        <v>1</v>
      </c>
      <c r="N160" s="22" t="n">
        <f aca="false">(1+E160/100)^(-(L160/12)/2)</f>
        <v>0.749257079149799</v>
      </c>
      <c r="O160" s="32" t="n">
        <f aca="false">IF(H160&lt;=0,0,M160*Assumptions!$B$3*H160*N160)</f>
        <v>259622.76232603</v>
      </c>
      <c r="P160" s="25" t="n">
        <v>259622.76</v>
      </c>
      <c r="Q160" s="32" t="n">
        <f aca="false">O160-P160</f>
        <v>0.00232602990581654</v>
      </c>
    </row>
    <row r="161" customFormat="false" ht="15" hidden="false" customHeight="false" outlineLevel="0" collapsed="false">
      <c r="A161" s="14" t="s">
        <v>330</v>
      </c>
      <c r="B161" s="14" t="n">
        <v>1</v>
      </c>
      <c r="C161" s="14" t="s">
        <v>154</v>
      </c>
      <c r="D161" s="14" t="n">
        <v>33</v>
      </c>
      <c r="E161" s="14" t="n">
        <v>11.35</v>
      </c>
      <c r="F161" s="31" t="n">
        <v>0.0187</v>
      </c>
      <c r="G161" s="31" t="n">
        <v>0.5614</v>
      </c>
      <c r="H161" s="25" t="n">
        <v>459625</v>
      </c>
      <c r="I161" s="25" t="n">
        <v>4825.23</v>
      </c>
      <c r="J161" s="32" t="n">
        <f aca="false">F161*G161*H161</f>
        <v>4825.2259825</v>
      </c>
      <c r="K161" s="32" t="n">
        <f aca="false">J161-I161</f>
        <v>-0.00401749999946333</v>
      </c>
      <c r="L161" s="28" t="n">
        <f aca="false">IF(B161=1,12,IF(B161=2,MIN(MAX(D161,1),60),6))</f>
        <v>12</v>
      </c>
      <c r="M161" s="11" t="n">
        <f aca="false">IF(B161=3,1,IFERROR(INDEX(PD_TermStructure!$C$2:$C$241,MATCH(C161&amp;"|"&amp;L161,PD_TermStructure!$D$2:$D$241,0)),0))</f>
        <v>0.109872</v>
      </c>
      <c r="N161" s="22" t="n">
        <f aca="false">(1+E161/100)^(-(L161/12)/2)</f>
        <v>0.94766510504748</v>
      </c>
      <c r="O161" s="32" t="n">
        <f aca="false">IF(H161&lt;=0,0,M161*Assumptions!$B$3*H161*N161)</f>
        <v>19847.2387201239</v>
      </c>
      <c r="P161" s="25" t="n">
        <v>19847.24</v>
      </c>
      <c r="Q161" s="32" t="n">
        <f aca="false">O161-P161</f>
        <v>-0.00127987606538227</v>
      </c>
    </row>
    <row r="162" customFormat="false" ht="15" hidden="false" customHeight="false" outlineLevel="0" collapsed="false">
      <c r="A162" s="14" t="s">
        <v>331</v>
      </c>
      <c r="B162" s="14" t="n">
        <v>2</v>
      </c>
      <c r="C162" s="14" t="s">
        <v>157</v>
      </c>
      <c r="D162" s="14" t="n">
        <v>40</v>
      </c>
      <c r="E162" s="14" t="n">
        <v>8.18</v>
      </c>
      <c r="F162" s="31" t="n">
        <v>0.1185</v>
      </c>
      <c r="G162" s="31" t="n">
        <v>0.6037</v>
      </c>
      <c r="H162" s="25" t="n">
        <v>786972.29</v>
      </c>
      <c r="I162" s="25" t="n">
        <v>56298.78</v>
      </c>
      <c r="J162" s="32" t="n">
        <f aca="false">F162*G162*H162</f>
        <v>56298.7778195505</v>
      </c>
      <c r="K162" s="32" t="n">
        <f aca="false">J162-I162</f>
        <v>-0.00218044948996976</v>
      </c>
      <c r="L162" s="28" t="n">
        <f aca="false">IF(B162=1,12,IF(B162=2,MIN(MAX(D162,1),60),6))</f>
        <v>40</v>
      </c>
      <c r="M162" s="11" t="n">
        <f aca="false">IF(B162=3,1,IFERROR(INDEX(PD_TermStructure!$C$2:$C$241,MATCH(C162&amp;"|"&amp;L162,PD_TermStructure!$D$2:$D$241,0)),0))</f>
        <v>1</v>
      </c>
      <c r="N162" s="22" t="n">
        <f aca="false">(1+E162/100)^(-(L162/12)/2)</f>
        <v>0.877179293949865</v>
      </c>
      <c r="O162" s="32" t="n">
        <f aca="false">IF(H162&lt;=0,0,M162*Assumptions!$B$3*H162*N162)</f>
        <v>286287.471817491</v>
      </c>
      <c r="P162" s="25" t="n">
        <v>286287.47</v>
      </c>
      <c r="Q162" s="32" t="n">
        <f aca="false">O162-P162</f>
        <v>0.00181749102193862</v>
      </c>
    </row>
    <row r="163" customFormat="false" ht="15" hidden="false" customHeight="false" outlineLevel="0" collapsed="false">
      <c r="A163" s="14" t="s">
        <v>332</v>
      </c>
      <c r="B163" s="14" t="n">
        <v>1</v>
      </c>
      <c r="C163" s="14" t="s">
        <v>154</v>
      </c>
      <c r="D163" s="14" t="n">
        <v>46</v>
      </c>
      <c r="E163" s="14" t="n">
        <v>11.34</v>
      </c>
      <c r="F163" s="31" t="n">
        <v>0.0179</v>
      </c>
      <c r="G163" s="31" t="n">
        <v>0.3793</v>
      </c>
      <c r="H163" s="25" t="n">
        <v>1672725.37</v>
      </c>
      <c r="I163" s="25" t="n">
        <v>11356.92</v>
      </c>
      <c r="J163" s="32" t="n">
        <f aca="false">F163*G163*H163</f>
        <v>11356.9187178539</v>
      </c>
      <c r="K163" s="32" t="n">
        <f aca="false">J163-I163</f>
        <v>-0.00128214609867428</v>
      </c>
      <c r="L163" s="28" t="n">
        <f aca="false">IF(B163=1,12,IF(B163=2,MIN(MAX(D163,1),60),6))</f>
        <v>12</v>
      </c>
      <c r="M163" s="11" t="n">
        <f aca="false">IF(B163=3,1,IFERROR(INDEX(PD_TermStructure!$C$2:$C$241,MATCH(C163&amp;"|"&amp;L163,PD_TermStructure!$D$2:$D$241,0)),0))</f>
        <v>0.109872</v>
      </c>
      <c r="N163" s="22" t="n">
        <f aca="false">(1+E163/100)^(-(L163/12)/2)</f>
        <v>0.947707661353721</v>
      </c>
      <c r="O163" s="32" t="n">
        <f aca="false">IF(H163&lt;=0,0,M163*Assumptions!$B$3*H163*N163)</f>
        <v>72233.8223138264</v>
      </c>
      <c r="P163" s="25" t="n">
        <v>72233.82</v>
      </c>
      <c r="Q163" s="32" t="n">
        <f aca="false">O163-P163</f>
        <v>0.00231382637866773</v>
      </c>
    </row>
    <row r="164" customFormat="false" ht="15" hidden="false" customHeight="false" outlineLevel="0" collapsed="false">
      <c r="A164" s="14" t="s">
        <v>333</v>
      </c>
      <c r="B164" s="14" t="n">
        <v>1</v>
      </c>
      <c r="C164" s="14" t="s">
        <v>154</v>
      </c>
      <c r="D164" s="14" t="n">
        <v>34</v>
      </c>
      <c r="E164" s="14" t="n">
        <v>12.8</v>
      </c>
      <c r="F164" s="31" t="n">
        <v>0.0242</v>
      </c>
      <c r="G164" s="31" t="n">
        <v>0.6058</v>
      </c>
      <c r="H164" s="25" t="n">
        <v>1597335.99</v>
      </c>
      <c r="I164" s="25" t="n">
        <v>23417.52</v>
      </c>
      <c r="J164" s="32" t="n">
        <f aca="false">F164*G164*H164</f>
        <v>23417.5206543564</v>
      </c>
      <c r="K164" s="32" t="n">
        <f aca="false">J164-I164</f>
        <v>0.000654356397717493</v>
      </c>
      <c r="L164" s="28" t="n">
        <f aca="false">IF(B164=1,12,IF(B164=2,MIN(MAX(D164,1),60),6))</f>
        <v>12</v>
      </c>
      <c r="M164" s="11" t="n">
        <f aca="false">IF(B164=3,1,IFERROR(INDEX(PD_TermStructure!$C$2:$C$241,MATCH(C164&amp;"|"&amp;L164,PD_TermStructure!$D$2:$D$241,0)),0))</f>
        <v>0.109872</v>
      </c>
      <c r="N164" s="22" t="n">
        <f aca="false">(1+E164/100)^(-(L164/12)/2)</f>
        <v>0.941554471443387</v>
      </c>
      <c r="O164" s="32" t="n">
        <f aca="false">IF(H164&lt;=0,0,M164*Assumptions!$B$3*H164*N164)</f>
        <v>68530.403408057</v>
      </c>
      <c r="P164" s="25" t="n">
        <v>68530.4</v>
      </c>
      <c r="Q164" s="32" t="n">
        <f aca="false">O164-P164</f>
        <v>0.0034080570039805</v>
      </c>
    </row>
    <row r="165" customFormat="false" ht="15" hidden="false" customHeight="false" outlineLevel="0" collapsed="false">
      <c r="A165" s="14" t="s">
        <v>334</v>
      </c>
      <c r="B165" s="14" t="n">
        <v>1</v>
      </c>
      <c r="C165" s="14" t="s">
        <v>154</v>
      </c>
      <c r="D165" s="14" t="n">
        <v>39</v>
      </c>
      <c r="E165" s="14" t="n">
        <v>12.48</v>
      </c>
      <c r="F165" s="31" t="n">
        <v>0.0227</v>
      </c>
      <c r="G165" s="31" t="n">
        <v>0.496</v>
      </c>
      <c r="H165" s="25" t="n">
        <v>619782.4</v>
      </c>
      <c r="I165" s="25" t="n">
        <v>6978.25</v>
      </c>
      <c r="J165" s="32" t="n">
        <f aca="false">F165*G165*H165</f>
        <v>6978.25399808</v>
      </c>
      <c r="K165" s="32" t="n">
        <f aca="false">J165-I165</f>
        <v>0.0039980800002013</v>
      </c>
      <c r="L165" s="28" t="n">
        <f aca="false">IF(B165=1,12,IF(B165=2,MIN(MAX(D165,1),60),6))</f>
        <v>12</v>
      </c>
      <c r="M165" s="11" t="n">
        <f aca="false">IF(B165=3,1,IFERROR(INDEX(PD_TermStructure!$C$2:$C$241,MATCH(C165&amp;"|"&amp;L165,PD_TermStructure!$D$2:$D$241,0)),0))</f>
        <v>0.109872</v>
      </c>
      <c r="N165" s="22" t="n">
        <f aca="false">(1+E165/100)^(-(L165/12)/2)</f>
        <v>0.942892858005893</v>
      </c>
      <c r="O165" s="32" t="n">
        <f aca="false">IF(H165&lt;=0,0,M165*Assumptions!$B$3*H165*N165)</f>
        <v>26628.2819470797</v>
      </c>
      <c r="P165" s="25" t="n">
        <v>26628.28</v>
      </c>
      <c r="Q165" s="32" t="n">
        <f aca="false">O165-P165</f>
        <v>0.00194707969785668</v>
      </c>
    </row>
    <row r="166" customFormat="false" ht="15" hidden="false" customHeight="false" outlineLevel="0" collapsed="false">
      <c r="A166" s="14" t="s">
        <v>335</v>
      </c>
      <c r="B166" s="14" t="n">
        <v>2</v>
      </c>
      <c r="C166" s="14" t="s">
        <v>157</v>
      </c>
      <c r="D166" s="14" t="n">
        <v>67</v>
      </c>
      <c r="E166" s="14" t="n">
        <v>9.99</v>
      </c>
      <c r="F166" s="31" t="n">
        <v>0.1366</v>
      </c>
      <c r="G166" s="31" t="n">
        <v>0.5079</v>
      </c>
      <c r="H166" s="25" t="n">
        <v>932231.7</v>
      </c>
      <c r="I166" s="25" t="n">
        <v>64677.43</v>
      </c>
      <c r="J166" s="32" t="n">
        <f aca="false">F166*G166*H166</f>
        <v>64677.433626738</v>
      </c>
      <c r="K166" s="32" t="n">
        <f aca="false">J166-I166</f>
        <v>0.00362673799827462</v>
      </c>
      <c r="L166" s="28" t="n">
        <f aca="false">IF(B166=1,12,IF(B166=2,MIN(MAX(D166,1),60),6))</f>
        <v>60</v>
      </c>
      <c r="M166" s="11" t="n">
        <f aca="false">IF(B166=3,1,IFERROR(INDEX(PD_TermStructure!$C$2:$C$241,MATCH(C166&amp;"|"&amp;L166,PD_TermStructure!$D$2:$D$241,0)),0))</f>
        <v>1</v>
      </c>
      <c r="N166" s="22" t="n">
        <f aca="false">(1+E166/100)^(-(L166/12)/2)</f>
        <v>0.788164727080723</v>
      </c>
      <c r="O166" s="32" t="n">
        <f aca="false">IF(H166&lt;=0,0,M166*Assumptions!$B$3*H166*N166)</f>
        <v>304716.094067501</v>
      </c>
      <c r="P166" s="25" t="n">
        <v>304716.09</v>
      </c>
      <c r="Q166" s="32" t="n">
        <f aca="false">O166-P166</f>
        <v>0.00406750076217577</v>
      </c>
    </row>
    <row r="167" customFormat="false" ht="15" hidden="false" customHeight="false" outlineLevel="0" collapsed="false">
      <c r="A167" s="14" t="s">
        <v>336</v>
      </c>
      <c r="B167" s="14" t="n">
        <v>1</v>
      </c>
      <c r="C167" s="14" t="s">
        <v>154</v>
      </c>
      <c r="D167" s="14" t="n">
        <v>57</v>
      </c>
      <c r="E167" s="14" t="n">
        <v>11.25</v>
      </c>
      <c r="F167" s="31" t="n">
        <v>0.0216</v>
      </c>
      <c r="G167" s="31" t="n">
        <v>0.5234</v>
      </c>
      <c r="H167" s="25" t="n">
        <v>568907.16</v>
      </c>
      <c r="I167" s="25" t="n">
        <v>6431.75</v>
      </c>
      <c r="J167" s="32" t="n">
        <f aca="false">F167*G167*H167</f>
        <v>6431.7457629504</v>
      </c>
      <c r="K167" s="32" t="n">
        <f aca="false">J167-I167</f>
        <v>-0.00423704959939641</v>
      </c>
      <c r="L167" s="28" t="n">
        <f aca="false">IF(B167=1,12,IF(B167=2,MIN(MAX(D167,1),60),6))</f>
        <v>12</v>
      </c>
      <c r="M167" s="11" t="n">
        <f aca="false">IF(B167=3,1,IFERROR(INDEX(PD_TermStructure!$C$2:$C$241,MATCH(C167&amp;"|"&amp;L167,PD_TermStructure!$D$2:$D$241,0)),0))</f>
        <v>0.109872</v>
      </c>
      <c r="N167" s="22" t="n">
        <f aca="false">(1+E167/100)^(-(L167/12)/2)</f>
        <v>0.948090926279954</v>
      </c>
      <c r="O167" s="32" t="n">
        <f aca="false">IF(H167&lt;=0,0,M167*Assumptions!$B$3*H167*N167)</f>
        <v>24577.2309755568</v>
      </c>
      <c r="P167" s="25" t="n">
        <v>24577.23</v>
      </c>
      <c r="Q167" s="32" t="n">
        <f aca="false">O167-P167</f>
        <v>0.000975556773482822</v>
      </c>
    </row>
    <row r="168" customFormat="false" ht="15" hidden="false" customHeight="false" outlineLevel="0" collapsed="false">
      <c r="A168" s="14" t="s">
        <v>337</v>
      </c>
      <c r="B168" s="14" t="n">
        <v>1</v>
      </c>
      <c r="C168" s="14" t="s">
        <v>155</v>
      </c>
      <c r="D168" s="14" t="n">
        <v>23</v>
      </c>
      <c r="E168" s="14" t="n">
        <v>13.51</v>
      </c>
      <c r="F168" s="31" t="n">
        <v>0.0211</v>
      </c>
      <c r="G168" s="31" t="n">
        <v>0.5965</v>
      </c>
      <c r="H168" s="25" t="n">
        <v>435170.01</v>
      </c>
      <c r="I168" s="25" t="n">
        <v>5477.12</v>
      </c>
      <c r="J168" s="32" t="n">
        <f aca="false">F168*G168*H168</f>
        <v>5477.1150213615</v>
      </c>
      <c r="K168" s="32" t="n">
        <f aca="false">J168-I168</f>
        <v>-0.00497863849977875</v>
      </c>
      <c r="L168" s="28" t="n">
        <f aca="false">IF(B168=1,12,IF(B168=2,MIN(MAX(D168,1),60),6))</f>
        <v>12</v>
      </c>
      <c r="M168" s="11" t="n">
        <f aca="false">IF(B168=3,1,IFERROR(INDEX(PD_TermStructure!$C$2:$C$241,MATCH(C168&amp;"|"&amp;L168,PD_TermStructure!$D$2:$D$241,0)),0))</f>
        <v>0.164153</v>
      </c>
      <c r="N168" s="22" t="n">
        <f aca="false">(1+E168/100)^(-(L168/12)/2)</f>
        <v>0.938605161593574</v>
      </c>
      <c r="O168" s="32" t="n">
        <f aca="false">IF(H168&lt;=0,0,M168*Assumptions!$B$3*H168*N168)</f>
        <v>27806.4310922357</v>
      </c>
      <c r="P168" s="25" t="n">
        <v>27806.43</v>
      </c>
      <c r="Q168" s="32" t="n">
        <f aca="false">O168-P168</f>
        <v>0.0010922357068921</v>
      </c>
    </row>
    <row r="169" customFormat="false" ht="15" hidden="false" customHeight="false" outlineLevel="0" collapsed="false">
      <c r="A169" s="14" t="s">
        <v>338</v>
      </c>
      <c r="B169" s="14" t="n">
        <v>1</v>
      </c>
      <c r="C169" s="14" t="s">
        <v>154</v>
      </c>
      <c r="D169" s="14" t="n">
        <v>2</v>
      </c>
      <c r="E169" s="14" t="n">
        <v>7.87</v>
      </c>
      <c r="F169" s="31" t="n">
        <v>0.0221</v>
      </c>
      <c r="G169" s="31" t="n">
        <v>0.6385</v>
      </c>
      <c r="H169" s="25" t="n">
        <v>36532</v>
      </c>
      <c r="I169" s="25" t="n">
        <v>515.5</v>
      </c>
      <c r="J169" s="32" t="n">
        <f aca="false">F169*G169*H169</f>
        <v>515.4975722</v>
      </c>
      <c r="K169" s="32" t="n">
        <f aca="false">J169-I169</f>
        <v>-0.00242779999996401</v>
      </c>
      <c r="L169" s="28" t="n">
        <f aca="false">IF(B169=1,12,IF(B169=2,MIN(MAX(D169,1),60),6))</f>
        <v>12</v>
      </c>
      <c r="M169" s="11" t="n">
        <f aca="false">IF(B169=3,1,IFERROR(INDEX(PD_TermStructure!$C$2:$C$241,MATCH(C169&amp;"|"&amp;L169,PD_TermStructure!$D$2:$D$241,0)),0))</f>
        <v>0.109872</v>
      </c>
      <c r="N169" s="22" t="n">
        <f aca="false">(1+E169/100)^(-(L169/12)/2)</f>
        <v>0.962830104216529</v>
      </c>
      <c r="O169" s="32" t="n">
        <f aca="false">IF(H169&lt;=0,0,M169*Assumptions!$B$3*H169*N169)</f>
        <v>1602.74588596901</v>
      </c>
      <c r="P169" s="25" t="n">
        <v>1602.75</v>
      </c>
      <c r="Q169" s="32" t="n">
        <f aca="false">O169-P169</f>
        <v>-0.00411403098587471</v>
      </c>
    </row>
    <row r="170" customFormat="false" ht="15" hidden="false" customHeight="false" outlineLevel="0" collapsed="false">
      <c r="A170" s="14" t="s">
        <v>339</v>
      </c>
      <c r="B170" s="14" t="n">
        <v>1</v>
      </c>
      <c r="C170" s="14" t="s">
        <v>155</v>
      </c>
      <c r="D170" s="14" t="n">
        <v>21</v>
      </c>
      <c r="E170" s="14" t="n">
        <v>12.64</v>
      </c>
      <c r="F170" s="31" t="n">
        <v>0.0144</v>
      </c>
      <c r="G170" s="31" t="n">
        <v>0.5358</v>
      </c>
      <c r="H170" s="25" t="n">
        <v>741611.35</v>
      </c>
      <c r="I170" s="25" t="n">
        <v>5721.92</v>
      </c>
      <c r="J170" s="32" t="n">
        <f aca="false">F170*G170*H170</f>
        <v>5721.917203152</v>
      </c>
      <c r="K170" s="32" t="n">
        <f aca="false">J170-I170</f>
        <v>-0.002796847999889</v>
      </c>
      <c r="L170" s="28" t="n">
        <f aca="false">IF(B170=1,12,IF(B170=2,MIN(MAX(D170,1),60),6))</f>
        <v>12</v>
      </c>
      <c r="M170" s="11" t="n">
        <f aca="false">IF(B170=3,1,IFERROR(INDEX(PD_TermStructure!$C$2:$C$241,MATCH(C170&amp;"|"&amp;L170,PD_TermStructure!$D$2:$D$241,0)),0))</f>
        <v>0.164153</v>
      </c>
      <c r="N170" s="22" t="n">
        <f aca="false">(1+E170/100)^(-(L170/12)/2)</f>
        <v>0.942222951805511</v>
      </c>
      <c r="O170" s="32" t="n">
        <f aca="false">IF(H170&lt;=0,0,M170*Assumptions!$B$3*H170*N170)</f>
        <v>47570.0274712044</v>
      </c>
      <c r="P170" s="25" t="n">
        <v>47570.03</v>
      </c>
      <c r="Q170" s="32" t="n">
        <f aca="false">O170-P170</f>
        <v>-0.00252879565232433</v>
      </c>
    </row>
    <row r="171" customFormat="false" ht="15" hidden="false" customHeight="false" outlineLevel="0" collapsed="false">
      <c r="A171" s="14" t="s">
        <v>340</v>
      </c>
      <c r="B171" s="14" t="n">
        <v>1</v>
      </c>
      <c r="C171" s="14" t="s">
        <v>154</v>
      </c>
      <c r="D171" s="14" t="n">
        <v>0</v>
      </c>
      <c r="E171" s="14" t="n">
        <v>11.97</v>
      </c>
      <c r="F171" s="31" t="n">
        <v>0.0161</v>
      </c>
      <c r="G171" s="31" t="n">
        <v>0.4976</v>
      </c>
      <c r="H171" s="25" t="n">
        <v>0</v>
      </c>
      <c r="I171" s="25" t="n">
        <v>0</v>
      </c>
      <c r="J171" s="32" t="n">
        <f aca="false">F171*G171*H171</f>
        <v>0</v>
      </c>
      <c r="K171" s="32" t="n">
        <f aca="false">J171-I171</f>
        <v>0</v>
      </c>
      <c r="L171" s="28" t="n">
        <f aca="false">IF(B171=1,12,IF(B171=2,MIN(MAX(D171,1),60),6))</f>
        <v>12</v>
      </c>
      <c r="M171" s="11" t="n">
        <f aca="false">IF(B171=3,1,IFERROR(INDEX(PD_TermStructure!$C$2:$C$241,MATCH(C171&amp;"|"&amp;L171,PD_TermStructure!$D$2:$D$241,0)),0))</f>
        <v>0.109872</v>
      </c>
      <c r="N171" s="22" t="n">
        <f aca="false">(1+E171/100)^(-(L171/12)/2)</f>
        <v>0.945037758556659</v>
      </c>
      <c r="O171" s="32" t="n">
        <f aca="false">IF(H171&lt;=0,0,M171*Assumptions!$B$3*H171*N171)</f>
        <v>0</v>
      </c>
      <c r="P171" s="25" t="n">
        <v>0</v>
      </c>
      <c r="Q171" s="32" t="n">
        <f aca="false">O171-P171</f>
        <v>0</v>
      </c>
    </row>
    <row r="172" customFormat="false" ht="15" hidden="false" customHeight="false" outlineLevel="0" collapsed="false">
      <c r="A172" s="14" t="s">
        <v>341</v>
      </c>
      <c r="B172" s="14" t="n">
        <v>1</v>
      </c>
      <c r="C172" s="14" t="s">
        <v>154</v>
      </c>
      <c r="D172" s="14" t="n">
        <v>0</v>
      </c>
      <c r="E172" s="14" t="n">
        <v>12.15</v>
      </c>
      <c r="F172" s="31" t="n">
        <v>0.0208</v>
      </c>
      <c r="G172" s="31" t="n">
        <v>0.6305</v>
      </c>
      <c r="H172" s="25" t="n">
        <v>0</v>
      </c>
      <c r="I172" s="25" t="n">
        <v>0</v>
      </c>
      <c r="J172" s="32" t="n">
        <f aca="false">F172*G172*H172</f>
        <v>0</v>
      </c>
      <c r="K172" s="32" t="n">
        <f aca="false">J172-I172</f>
        <v>0</v>
      </c>
      <c r="L172" s="28" t="n">
        <f aca="false">IF(B172=1,12,IF(B172=2,MIN(MAX(D172,1),60),6))</f>
        <v>12</v>
      </c>
      <c r="M172" s="11" t="n">
        <f aca="false">IF(B172=3,1,IFERROR(INDEX(PD_TermStructure!$C$2:$C$241,MATCH(C172&amp;"|"&amp;L172,PD_TermStructure!$D$2:$D$241,0)),0))</f>
        <v>0.109872</v>
      </c>
      <c r="N172" s="22" t="n">
        <f aca="false">(1+E172/100)^(-(L172/12)/2)</f>
        <v>0.944279064368351</v>
      </c>
      <c r="O172" s="32" t="n">
        <f aca="false">IF(H172&lt;=0,0,M172*Assumptions!$B$3*H172*N172)</f>
        <v>0</v>
      </c>
      <c r="P172" s="25" t="n">
        <v>0</v>
      </c>
      <c r="Q172" s="32" t="n">
        <f aca="false">O172-P172</f>
        <v>0</v>
      </c>
    </row>
    <row r="173" customFormat="false" ht="15" hidden="false" customHeight="false" outlineLevel="0" collapsed="false">
      <c r="A173" s="14" t="s">
        <v>342</v>
      </c>
      <c r="B173" s="14" t="n">
        <v>1</v>
      </c>
      <c r="C173" s="14" t="s">
        <v>154</v>
      </c>
      <c r="D173" s="14" t="n">
        <v>13</v>
      </c>
      <c r="E173" s="14" t="n">
        <v>14.27</v>
      </c>
      <c r="F173" s="31" t="n">
        <v>0.02</v>
      </c>
      <c r="G173" s="31" t="n">
        <v>0.6395</v>
      </c>
      <c r="H173" s="25" t="n">
        <v>633356.86</v>
      </c>
      <c r="I173" s="25" t="n">
        <v>8100.63</v>
      </c>
      <c r="J173" s="32" t="n">
        <f aca="false">F173*G173*H173</f>
        <v>8100.6342394</v>
      </c>
      <c r="K173" s="32" t="n">
        <f aca="false">J173-I173</f>
        <v>0.00423939999927825</v>
      </c>
      <c r="L173" s="28" t="n">
        <f aca="false">IF(B173=1,12,IF(B173=2,MIN(MAX(D173,1),60),6))</f>
        <v>12</v>
      </c>
      <c r="M173" s="11" t="n">
        <f aca="false">IF(B173=3,1,IFERROR(INDEX(PD_TermStructure!$C$2:$C$241,MATCH(C173&amp;"|"&amp;L173,PD_TermStructure!$D$2:$D$241,0)),0))</f>
        <v>0.109872</v>
      </c>
      <c r="N173" s="22" t="n">
        <f aca="false">(1+E173/100)^(-(L173/12)/2)</f>
        <v>0.935478663062522</v>
      </c>
      <c r="O173" s="32" t="n">
        <f aca="false">IF(H173&lt;=0,0,M173*Assumptions!$B$3*H173*N173)</f>
        <v>26997.5234027768</v>
      </c>
      <c r="P173" s="25" t="n">
        <v>26997.52</v>
      </c>
      <c r="Q173" s="32" t="n">
        <f aca="false">O173-P173</f>
        <v>0.00340277680879808</v>
      </c>
    </row>
    <row r="174" customFormat="false" ht="15" hidden="false" customHeight="false" outlineLevel="0" collapsed="false">
      <c r="A174" s="14" t="s">
        <v>343</v>
      </c>
      <c r="B174" s="14" t="n">
        <v>1</v>
      </c>
      <c r="C174" s="14" t="s">
        <v>154</v>
      </c>
      <c r="D174" s="14" t="n">
        <v>5</v>
      </c>
      <c r="E174" s="14" t="n">
        <v>7.76</v>
      </c>
      <c r="F174" s="31" t="n">
        <v>0.0238</v>
      </c>
      <c r="G174" s="31" t="n">
        <v>0.3819</v>
      </c>
      <c r="H174" s="25" t="n">
        <v>90951.95</v>
      </c>
      <c r="I174" s="25" t="n">
        <v>826.68</v>
      </c>
      <c r="J174" s="32" t="n">
        <f aca="false">F174*G174*H174</f>
        <v>826.682282979</v>
      </c>
      <c r="K174" s="32" t="n">
        <f aca="false">J174-I174</f>
        <v>0.00228297900002872</v>
      </c>
      <c r="L174" s="28" t="n">
        <f aca="false">IF(B174=1,12,IF(B174=2,MIN(MAX(D174,1),60),6))</f>
        <v>12</v>
      </c>
      <c r="M174" s="11" t="n">
        <f aca="false">IF(B174=3,1,IFERROR(INDEX(PD_TermStructure!$C$2:$C$241,MATCH(C174&amp;"|"&amp;L174,PD_TermStructure!$D$2:$D$241,0)),0))</f>
        <v>0.109872</v>
      </c>
      <c r="N174" s="22" t="n">
        <f aca="false">(1+E174/100)^(-(L174/12)/2)</f>
        <v>0.963321401066146</v>
      </c>
      <c r="O174" s="32" t="n">
        <f aca="false">IF(H174&lt;=0,0,M174*Assumptions!$B$3*H174*N174)</f>
        <v>3992.31485336977</v>
      </c>
      <c r="P174" s="25" t="n">
        <v>3992.31</v>
      </c>
      <c r="Q174" s="32" t="n">
        <f aca="false">O174-P174</f>
        <v>0.004853369772718</v>
      </c>
    </row>
    <row r="175" customFormat="false" ht="15" hidden="false" customHeight="false" outlineLevel="0" collapsed="false">
      <c r="A175" s="14" t="s">
        <v>344</v>
      </c>
      <c r="B175" s="14" t="n">
        <v>2</v>
      </c>
      <c r="C175" s="14" t="s">
        <v>157</v>
      </c>
      <c r="D175" s="14" t="n">
        <v>53</v>
      </c>
      <c r="E175" s="14" t="n">
        <v>7.94</v>
      </c>
      <c r="F175" s="31" t="n">
        <v>0.114</v>
      </c>
      <c r="G175" s="31" t="n">
        <v>0.5922</v>
      </c>
      <c r="H175" s="25" t="n">
        <v>1164470.4</v>
      </c>
      <c r="I175" s="25" t="n">
        <v>78614.33</v>
      </c>
      <c r="J175" s="32" t="n">
        <f aca="false">F175*G175*H175</f>
        <v>78614.32828032</v>
      </c>
      <c r="K175" s="32" t="n">
        <f aca="false">J175-I175</f>
        <v>-0.00171968001814093</v>
      </c>
      <c r="L175" s="28" t="n">
        <f aca="false">IF(B175=1,12,IF(B175=2,MIN(MAX(D175,1),60),6))</f>
        <v>53</v>
      </c>
      <c r="M175" s="11" t="n">
        <f aca="false">IF(B175=3,1,IFERROR(INDEX(PD_TermStructure!$C$2:$C$241,MATCH(C175&amp;"|"&amp;L175,PD_TermStructure!$D$2:$D$241,0)),0))</f>
        <v>1</v>
      </c>
      <c r="N175" s="22" t="n">
        <f aca="false">(1+E175/100)^(-(L175/12)/2)</f>
        <v>0.844738269586518</v>
      </c>
      <c r="O175" s="32" t="n">
        <f aca="false">IF(H175&lt;=0,0,M175*Assumptions!$B$3*H175*N175)</f>
        <v>407948.325063394</v>
      </c>
      <c r="P175" s="25" t="n">
        <v>407948.33</v>
      </c>
      <c r="Q175" s="32" t="n">
        <f aca="false">O175-P175</f>
        <v>-0.00493660586653277</v>
      </c>
    </row>
    <row r="176" customFormat="false" ht="15" hidden="false" customHeight="false" outlineLevel="0" collapsed="false">
      <c r="A176" s="14" t="s">
        <v>345</v>
      </c>
      <c r="B176" s="14" t="n">
        <v>1</v>
      </c>
      <c r="C176" s="14" t="s">
        <v>154</v>
      </c>
      <c r="D176" s="14" t="n">
        <v>26</v>
      </c>
      <c r="E176" s="14" t="n">
        <v>9.93</v>
      </c>
      <c r="F176" s="31" t="n">
        <v>0.02</v>
      </c>
      <c r="G176" s="31" t="n">
        <v>0.3979</v>
      </c>
      <c r="H176" s="25" t="n">
        <v>631807.88</v>
      </c>
      <c r="I176" s="25" t="n">
        <v>5027.93</v>
      </c>
      <c r="J176" s="32" t="n">
        <f aca="false">F176*G176*H176</f>
        <v>5027.92710904</v>
      </c>
      <c r="K176" s="32" t="n">
        <f aca="false">J176-I176</f>
        <v>-0.00289096000051359</v>
      </c>
      <c r="L176" s="28" t="n">
        <f aca="false">IF(B176=1,12,IF(B176=2,MIN(MAX(D176,1),60),6))</f>
        <v>12</v>
      </c>
      <c r="M176" s="11" t="n">
        <f aca="false">IF(B176=3,1,IFERROR(INDEX(PD_TermStructure!$C$2:$C$241,MATCH(C176&amp;"|"&amp;L176,PD_TermStructure!$D$2:$D$241,0)),0))</f>
        <v>0.109872</v>
      </c>
      <c r="N176" s="22" t="n">
        <f aca="false">(1+E176/100)^(-(L176/12)/2)</f>
        <v>0.953766108574989</v>
      </c>
      <c r="O176" s="32" t="n">
        <f aca="false">IF(H176&lt;=0,0,M176*Assumptions!$B$3*H176*N176)</f>
        <v>27457.9737421842</v>
      </c>
      <c r="P176" s="25" t="n">
        <v>27457.97</v>
      </c>
      <c r="Q176" s="32" t="n">
        <f aca="false">O176-P176</f>
        <v>0.00374218415890937</v>
      </c>
    </row>
    <row r="177" customFormat="false" ht="15" hidden="false" customHeight="false" outlineLevel="0" collapsed="false">
      <c r="A177" s="14" t="s">
        <v>346</v>
      </c>
      <c r="B177" s="14" t="n">
        <v>1</v>
      </c>
      <c r="C177" s="14" t="s">
        <v>154</v>
      </c>
      <c r="D177" s="14" t="n">
        <v>57</v>
      </c>
      <c r="E177" s="14" t="n">
        <v>11.1</v>
      </c>
      <c r="F177" s="31" t="n">
        <v>0.0147</v>
      </c>
      <c r="G177" s="31" t="n">
        <v>0.4808</v>
      </c>
      <c r="H177" s="25" t="n">
        <v>569338.31</v>
      </c>
      <c r="I177" s="25" t="n">
        <v>4023.95</v>
      </c>
      <c r="J177" s="32" t="n">
        <f aca="false">F177*G177*H177</f>
        <v>4023.9465338856</v>
      </c>
      <c r="K177" s="32" t="n">
        <f aca="false">J177-I177</f>
        <v>-0.00346611439908884</v>
      </c>
      <c r="L177" s="28" t="n">
        <f aca="false">IF(B177=1,12,IF(B177=2,MIN(MAX(D177,1),60),6))</f>
        <v>12</v>
      </c>
      <c r="M177" s="11" t="n">
        <f aca="false">IF(B177=3,1,IFERROR(INDEX(PD_TermStructure!$C$2:$C$241,MATCH(C177&amp;"|"&amp;L177,PD_TermStructure!$D$2:$D$241,0)),0))</f>
        <v>0.109872</v>
      </c>
      <c r="N177" s="22" t="n">
        <f aca="false">(1+E177/100)^(-(L177/12)/2)</f>
        <v>0.948730735773275</v>
      </c>
      <c r="O177" s="32" t="n">
        <f aca="false">IF(H177&lt;=0,0,M177*Assumptions!$B$3*H177*N177)</f>
        <v>24612.4552535449</v>
      </c>
      <c r="P177" s="25" t="n">
        <v>24612.46</v>
      </c>
      <c r="Q177" s="32" t="n">
        <f aca="false">O177-P177</f>
        <v>-0.00474645514623262</v>
      </c>
    </row>
    <row r="178" customFormat="false" ht="15" hidden="false" customHeight="false" outlineLevel="0" collapsed="false">
      <c r="A178" s="14" t="s">
        <v>347</v>
      </c>
      <c r="B178" s="14" t="n">
        <v>3</v>
      </c>
      <c r="C178" s="14" t="s">
        <v>182</v>
      </c>
      <c r="D178" s="14" t="n">
        <v>21</v>
      </c>
      <c r="E178" s="14" t="n">
        <v>12.82</v>
      </c>
      <c r="F178" s="31" t="n">
        <v>0.7214</v>
      </c>
      <c r="G178" s="31" t="n">
        <v>0.4803</v>
      </c>
      <c r="H178" s="25" t="n">
        <v>98886.98</v>
      </c>
      <c r="I178" s="25" t="n">
        <v>34263.19</v>
      </c>
      <c r="J178" s="32" t="n">
        <f aca="false">F178*G178*H178</f>
        <v>34263.1934587716</v>
      </c>
      <c r="K178" s="32" t="n">
        <f aca="false">J178-I178</f>
        <v>0.00345877159998054</v>
      </c>
      <c r="L178" s="28" t="n">
        <f aca="false">IF(B178=1,12,IF(B178=2,MIN(MAX(D178,1),60),6))</f>
        <v>6</v>
      </c>
      <c r="M178" s="11" t="n">
        <f aca="false">IF(B178=3,1,IFERROR(INDEX(PD_TermStructure!$C$2:$C$241,MATCH(C178&amp;"|"&amp;L178,PD_TermStructure!$D$2:$D$241,0)),0))</f>
        <v>1</v>
      </c>
      <c r="N178" s="22" t="n">
        <f aca="false">(1+E178/100)^(-(L178/12)/2)</f>
        <v>0.970294291130556</v>
      </c>
      <c r="O178" s="32" t="n">
        <f aca="false">IF(H178&lt;=0,0,M178*Assumptions!$B$3*H178*N178)</f>
        <v>39792.1239796996</v>
      </c>
      <c r="P178" s="25" t="n">
        <v>39792.12</v>
      </c>
      <c r="Q178" s="32" t="n">
        <f aca="false">O178-P178</f>
        <v>0.00397969962068601</v>
      </c>
    </row>
    <row r="179" customFormat="false" ht="15" hidden="false" customHeight="false" outlineLevel="0" collapsed="false">
      <c r="A179" s="14" t="s">
        <v>348</v>
      </c>
      <c r="B179" s="14" t="n">
        <v>1</v>
      </c>
      <c r="C179" s="14" t="s">
        <v>154</v>
      </c>
      <c r="D179" s="14" t="n">
        <v>30</v>
      </c>
      <c r="E179" s="14" t="n">
        <v>13.17</v>
      </c>
      <c r="F179" s="31" t="n">
        <v>0.0243</v>
      </c>
      <c r="G179" s="31" t="n">
        <v>0.5742</v>
      </c>
      <c r="H179" s="25" t="n">
        <v>242714.77</v>
      </c>
      <c r="I179" s="25" t="n">
        <v>3386.61</v>
      </c>
      <c r="J179" s="32" t="n">
        <f aca="false">F179*G179*H179</f>
        <v>3386.6137486962</v>
      </c>
      <c r="K179" s="32" t="n">
        <f aca="false">J179-I179</f>
        <v>0.00374869619963647</v>
      </c>
      <c r="L179" s="28" t="n">
        <f aca="false">IF(B179=1,12,IF(B179=2,MIN(MAX(D179,1),60),6))</f>
        <v>12</v>
      </c>
      <c r="M179" s="11" t="n">
        <f aca="false">IF(B179=3,1,IFERROR(INDEX(PD_TermStructure!$C$2:$C$241,MATCH(C179&amp;"|"&amp;L179,PD_TermStructure!$D$2:$D$241,0)),0))</f>
        <v>0.109872</v>
      </c>
      <c r="N179" s="22" t="n">
        <f aca="false">(1+E179/100)^(-(L179/12)/2)</f>
        <v>0.940014043914725</v>
      </c>
      <c r="O179" s="32" t="n">
        <f aca="false">IF(H179&lt;=0,0,M179*Assumptions!$B$3*H179*N179)</f>
        <v>10396.1397442457</v>
      </c>
      <c r="P179" s="25" t="n">
        <v>10396.14</v>
      </c>
      <c r="Q179" s="32" t="n">
        <f aca="false">O179-P179</f>
        <v>-0.000255754335739766</v>
      </c>
    </row>
    <row r="180" customFormat="false" ht="15" hidden="false" customHeight="false" outlineLevel="0" collapsed="false">
      <c r="A180" s="14" t="s">
        <v>349</v>
      </c>
      <c r="B180" s="14" t="n">
        <v>2</v>
      </c>
      <c r="C180" s="14" t="s">
        <v>157</v>
      </c>
      <c r="D180" s="14" t="n">
        <v>63</v>
      </c>
      <c r="E180" s="14" t="n">
        <v>7.73</v>
      </c>
      <c r="F180" s="31" t="n">
        <v>0.1307</v>
      </c>
      <c r="G180" s="31" t="n">
        <v>0.5615</v>
      </c>
      <c r="H180" s="25" t="n">
        <v>423539.99</v>
      </c>
      <c r="I180" s="25" t="n">
        <v>31082.77</v>
      </c>
      <c r="J180" s="32" t="n">
        <f aca="false">F180*G180*H180</f>
        <v>31082.7739631195</v>
      </c>
      <c r="K180" s="32" t="n">
        <f aca="false">J180-I180</f>
        <v>0.00396311950316886</v>
      </c>
      <c r="L180" s="28" t="n">
        <f aca="false">IF(B180=1,12,IF(B180=2,MIN(MAX(D180,1),60),6))</f>
        <v>60</v>
      </c>
      <c r="M180" s="11" t="n">
        <f aca="false">IF(B180=3,1,IFERROR(INDEX(PD_TermStructure!$C$2:$C$241,MATCH(C180&amp;"|"&amp;L180,PD_TermStructure!$D$2:$D$241,0)),0))</f>
        <v>1</v>
      </c>
      <c r="N180" s="22" t="n">
        <f aca="false">(1+E180/100)^(-(L180/12)/2)</f>
        <v>0.830153398917762</v>
      </c>
      <c r="O180" s="32" t="n">
        <f aca="false">IF(H180&lt;=0,0,M180*Assumptions!$B$3*H180*N180)</f>
        <v>145816.712794915</v>
      </c>
      <c r="P180" s="25" t="n">
        <v>145816.71</v>
      </c>
      <c r="Q180" s="32" t="n">
        <f aca="false">O180-P180</f>
        <v>0.00279491455876268</v>
      </c>
    </row>
    <row r="181" customFormat="false" ht="15" hidden="false" customHeight="false" outlineLevel="0" collapsed="false">
      <c r="A181" s="14" t="s">
        <v>350</v>
      </c>
      <c r="B181" s="14" t="n">
        <v>1</v>
      </c>
      <c r="C181" s="14" t="s">
        <v>155</v>
      </c>
      <c r="D181" s="14" t="n">
        <v>30</v>
      </c>
      <c r="E181" s="14" t="n">
        <v>7.94</v>
      </c>
      <c r="F181" s="31" t="n">
        <v>0.0255</v>
      </c>
      <c r="G181" s="31" t="n">
        <v>0.3731</v>
      </c>
      <c r="H181" s="25" t="n">
        <v>1292055.2</v>
      </c>
      <c r="I181" s="25" t="n">
        <v>12292.68</v>
      </c>
      <c r="J181" s="32" t="n">
        <f aca="false">F181*G181*H181</f>
        <v>12292.67777556</v>
      </c>
      <c r="K181" s="32" t="n">
        <f aca="false">J181-I181</f>
        <v>-0.0022244400006457</v>
      </c>
      <c r="L181" s="28" t="n">
        <f aca="false">IF(B181=1,12,IF(B181=2,MIN(MAX(D181,1),60),6))</f>
        <v>12</v>
      </c>
      <c r="M181" s="11" t="n">
        <f aca="false">IF(B181=3,1,IFERROR(INDEX(PD_TermStructure!$C$2:$C$241,MATCH(C181&amp;"|"&amp;L181,PD_TermStructure!$D$2:$D$241,0)),0))</f>
        <v>0.164153</v>
      </c>
      <c r="N181" s="22" t="n">
        <f aca="false">(1+E181/100)^(-(L181/12)/2)</f>
        <v>0.962517851863834</v>
      </c>
      <c r="O181" s="32" t="n">
        <f aca="false">IF(H181&lt;=0,0,M181*Assumptions!$B$3*H181*N181)</f>
        <v>84662.9148480952</v>
      </c>
      <c r="P181" s="25" t="n">
        <v>84662.91</v>
      </c>
      <c r="Q181" s="32" t="n">
        <f aca="false">O181-P181</f>
        <v>0.00484809523914009</v>
      </c>
    </row>
    <row r="182" customFormat="false" ht="15" hidden="false" customHeight="false" outlineLevel="0" collapsed="false">
      <c r="A182" s="14" t="s">
        <v>351</v>
      </c>
      <c r="B182" s="14" t="n">
        <v>1</v>
      </c>
      <c r="C182" s="14" t="s">
        <v>154</v>
      </c>
      <c r="D182" s="14" t="n">
        <v>28</v>
      </c>
      <c r="E182" s="14" t="n">
        <v>10.61</v>
      </c>
      <c r="F182" s="31" t="n">
        <v>0.0248</v>
      </c>
      <c r="G182" s="31" t="n">
        <v>0.4419</v>
      </c>
      <c r="H182" s="25" t="n">
        <v>532274.97</v>
      </c>
      <c r="I182" s="25" t="n">
        <v>5833.27</v>
      </c>
      <c r="J182" s="32" t="n">
        <f aca="false">F182*G182*H182</f>
        <v>5833.2652692264</v>
      </c>
      <c r="K182" s="32" t="n">
        <f aca="false">J182-I182</f>
        <v>-0.00473077360129537</v>
      </c>
      <c r="L182" s="28" t="n">
        <f aca="false">IF(B182=1,12,IF(B182=2,MIN(MAX(D182,1),60),6))</f>
        <v>12</v>
      </c>
      <c r="M182" s="11" t="n">
        <f aca="false">IF(B182=3,1,IFERROR(INDEX(PD_TermStructure!$C$2:$C$241,MATCH(C182&amp;"|"&amp;L182,PD_TermStructure!$D$2:$D$241,0)),0))</f>
        <v>0.109872</v>
      </c>
      <c r="N182" s="22" t="n">
        <f aca="false">(1+E182/100)^(-(L182/12)/2)</f>
        <v>0.950829842308549</v>
      </c>
      <c r="O182" s="32" t="n">
        <f aca="false">IF(H182&lt;=0,0,M182*Assumptions!$B$3*H182*N182)</f>
        <v>23061.1207157429</v>
      </c>
      <c r="P182" s="25" t="n">
        <v>23061.12</v>
      </c>
      <c r="Q182" s="32" t="n">
        <f aca="false">O182-P182</f>
        <v>0.000715742888132809</v>
      </c>
    </row>
    <row r="183" customFormat="false" ht="15" hidden="false" customHeight="false" outlineLevel="0" collapsed="false">
      <c r="A183" s="14" t="s">
        <v>352</v>
      </c>
      <c r="B183" s="14" t="n">
        <v>1</v>
      </c>
      <c r="C183" s="14" t="s">
        <v>154</v>
      </c>
      <c r="D183" s="14" t="n">
        <v>22</v>
      </c>
      <c r="E183" s="14" t="n">
        <v>13.38</v>
      </c>
      <c r="F183" s="31" t="n">
        <v>0.0185</v>
      </c>
      <c r="G183" s="31" t="n">
        <v>0.512</v>
      </c>
      <c r="H183" s="25" t="n">
        <v>518426.6</v>
      </c>
      <c r="I183" s="25" t="n">
        <v>4910.54</v>
      </c>
      <c r="J183" s="32" t="n">
        <f aca="false">F183*G183*H183</f>
        <v>4910.5367552</v>
      </c>
      <c r="K183" s="32" t="n">
        <f aca="false">J183-I183</f>
        <v>-0.00324480000017502</v>
      </c>
      <c r="L183" s="28" t="n">
        <f aca="false">IF(B183=1,12,IF(B183=2,MIN(MAX(D183,1),60),6))</f>
        <v>12</v>
      </c>
      <c r="M183" s="11" t="n">
        <f aca="false">IF(B183=3,1,IFERROR(INDEX(PD_TermStructure!$C$2:$C$241,MATCH(C183&amp;"|"&amp;L183,PD_TermStructure!$D$2:$D$241,0)),0))</f>
        <v>0.109872</v>
      </c>
      <c r="N183" s="22" t="n">
        <f aca="false">(1+E183/100)^(-(L183/12)/2)</f>
        <v>0.939143103535708</v>
      </c>
      <c r="O183" s="32" t="n">
        <f aca="false">IF(H183&lt;=0,0,M183*Assumptions!$B$3*H183*N183)</f>
        <v>22185.0602004036</v>
      </c>
      <c r="P183" s="25" t="n">
        <v>22185.06</v>
      </c>
      <c r="Q183" s="32" t="n">
        <f aca="false">O183-P183</f>
        <v>0.000200403588678455</v>
      </c>
    </row>
    <row r="184" customFormat="false" ht="15" hidden="false" customHeight="false" outlineLevel="0" collapsed="false">
      <c r="A184" s="14" t="s">
        <v>353</v>
      </c>
      <c r="B184" s="14" t="n">
        <v>1</v>
      </c>
      <c r="C184" s="14" t="s">
        <v>154</v>
      </c>
      <c r="D184" s="14" t="n">
        <v>69</v>
      </c>
      <c r="E184" s="14" t="n">
        <v>12.17</v>
      </c>
      <c r="F184" s="31" t="n">
        <v>0.021</v>
      </c>
      <c r="G184" s="31" t="n">
        <v>0.4166</v>
      </c>
      <c r="H184" s="25" t="n">
        <v>508484.69</v>
      </c>
      <c r="I184" s="25" t="n">
        <v>4448.53</v>
      </c>
      <c r="J184" s="32" t="n">
        <f aca="false">F184*G184*H184</f>
        <v>4448.529158934</v>
      </c>
      <c r="K184" s="32" t="n">
        <f aca="false">J184-I184</f>
        <v>-0.000841065999338753</v>
      </c>
      <c r="L184" s="28" t="n">
        <f aca="false">IF(B184=1,12,IF(B184=2,MIN(MAX(D184,1),60),6))</f>
        <v>12</v>
      </c>
      <c r="M184" s="11" t="n">
        <f aca="false">IF(B184=3,1,IFERROR(INDEX(PD_TermStructure!$C$2:$C$241,MATCH(C184&amp;"|"&amp;L184,PD_TermStructure!$D$2:$D$241,0)),0))</f>
        <v>0.109872</v>
      </c>
      <c r="N184" s="22" t="n">
        <f aca="false">(1+E184/100)^(-(L184/12)/2)</f>
        <v>0.944194877762347</v>
      </c>
      <c r="O184" s="32" t="n">
        <f aca="false">IF(H184&lt;=0,0,M184*Assumptions!$B$3*H184*N184)</f>
        <v>21876.6632892728</v>
      </c>
      <c r="P184" s="25" t="n">
        <v>21876.66</v>
      </c>
      <c r="Q184" s="32" t="n">
        <f aca="false">O184-P184</f>
        <v>0.00328927275404567</v>
      </c>
    </row>
    <row r="185" customFormat="false" ht="15" hidden="false" customHeight="false" outlineLevel="0" collapsed="false">
      <c r="A185" s="14" t="s">
        <v>354</v>
      </c>
      <c r="B185" s="14" t="n">
        <v>3</v>
      </c>
      <c r="C185" s="14" t="s">
        <v>182</v>
      </c>
      <c r="D185" s="14" t="n">
        <v>41</v>
      </c>
      <c r="E185" s="14" t="n">
        <v>10.28</v>
      </c>
      <c r="F185" s="31" t="n">
        <v>0.6662</v>
      </c>
      <c r="G185" s="31" t="n">
        <v>0.5262</v>
      </c>
      <c r="H185" s="25" t="n">
        <v>541049.75</v>
      </c>
      <c r="I185" s="25" t="n">
        <v>189667.39</v>
      </c>
      <c r="J185" s="32" t="n">
        <f aca="false">F185*G185*H185</f>
        <v>189667.39212339</v>
      </c>
      <c r="K185" s="32" t="n">
        <f aca="false">J185-I185</f>
        <v>0.00212339000427164</v>
      </c>
      <c r="L185" s="28" t="n">
        <f aca="false">IF(B185=1,12,IF(B185=2,MIN(MAX(D185,1),60),6))</f>
        <v>6</v>
      </c>
      <c r="M185" s="11" t="n">
        <f aca="false">IF(B185=3,1,IFERROR(INDEX(PD_TermStructure!$C$2:$C$241,MATCH(C185&amp;"|"&amp;L185,PD_TermStructure!$D$2:$D$241,0)),0))</f>
        <v>1</v>
      </c>
      <c r="N185" s="22" t="n">
        <f aca="false">(1+E185/100)^(-(L185/12)/2)</f>
        <v>0.9758336964766</v>
      </c>
      <c r="O185" s="32" t="n">
        <f aca="false">IF(H185&lt;=0,0,M185*Assumptions!$B$3*H185*N185)</f>
        <v>218961.390548675</v>
      </c>
      <c r="P185" s="25" t="n">
        <v>218961.39</v>
      </c>
      <c r="Q185" s="32" t="n">
        <f aca="false">O185-P185</f>
        <v>0.00054867533617653</v>
      </c>
    </row>
    <row r="186" customFormat="false" ht="15" hidden="false" customHeight="false" outlineLevel="0" collapsed="false">
      <c r="A186" s="14" t="s">
        <v>355</v>
      </c>
      <c r="B186" s="14" t="n">
        <v>1</v>
      </c>
      <c r="C186" s="14" t="s">
        <v>154</v>
      </c>
      <c r="D186" s="14" t="n">
        <v>42</v>
      </c>
      <c r="E186" s="14" t="n">
        <v>8.8</v>
      </c>
      <c r="F186" s="31" t="n">
        <v>0.0162</v>
      </c>
      <c r="G186" s="31" t="n">
        <v>0.622</v>
      </c>
      <c r="H186" s="25" t="n">
        <v>560786.77</v>
      </c>
      <c r="I186" s="25" t="n">
        <v>5650.71</v>
      </c>
      <c r="J186" s="32" t="n">
        <f aca="false">F186*G186*H186</f>
        <v>5650.711809228</v>
      </c>
      <c r="K186" s="32" t="n">
        <f aca="false">J186-I186</f>
        <v>0.00180922799972905</v>
      </c>
      <c r="L186" s="28" t="n">
        <f aca="false">IF(B186=1,12,IF(B186=2,MIN(MAX(D186,1),60),6))</f>
        <v>12</v>
      </c>
      <c r="M186" s="11" t="n">
        <f aca="false">IF(B186=3,1,IFERROR(INDEX(PD_TermStructure!$C$2:$C$241,MATCH(C186&amp;"|"&amp;L186,PD_TermStructure!$D$2:$D$241,0)),0))</f>
        <v>0.109872</v>
      </c>
      <c r="N186" s="22" t="n">
        <f aca="false">(1+E186/100)^(-(L186/12)/2)</f>
        <v>0.958706236059213</v>
      </c>
      <c r="O186" s="32" t="n">
        <f aca="false">IF(H186&lt;=0,0,M186*Assumptions!$B$3*H186*N186)</f>
        <v>24497.6752261925</v>
      </c>
      <c r="P186" s="25" t="n">
        <v>24497.68</v>
      </c>
      <c r="Q186" s="32" t="n">
        <f aca="false">O186-P186</f>
        <v>-0.00477380745360279</v>
      </c>
    </row>
    <row r="187" customFormat="false" ht="15" hidden="false" customHeight="false" outlineLevel="0" collapsed="false">
      <c r="A187" s="14" t="s">
        <v>356</v>
      </c>
      <c r="B187" s="14" t="n">
        <v>1</v>
      </c>
      <c r="C187" s="14" t="s">
        <v>154</v>
      </c>
      <c r="D187" s="14" t="n">
        <v>53</v>
      </c>
      <c r="E187" s="14" t="n">
        <v>11.09</v>
      </c>
      <c r="F187" s="31" t="n">
        <v>0.0202</v>
      </c>
      <c r="G187" s="31" t="n">
        <v>0.5799</v>
      </c>
      <c r="H187" s="25" t="n">
        <v>2673046.67</v>
      </c>
      <c r="I187" s="25" t="n">
        <v>31312.02</v>
      </c>
      <c r="J187" s="32" t="n">
        <f aca="false">F187*G187*H187</f>
        <v>31312.0152314466</v>
      </c>
      <c r="K187" s="32" t="n">
        <f aca="false">J187-I187</f>
        <v>-0.00476855340457405</v>
      </c>
      <c r="L187" s="28" t="n">
        <f aca="false">IF(B187=1,12,IF(B187=2,MIN(MAX(D187,1),60),6))</f>
        <v>12</v>
      </c>
      <c r="M187" s="11" t="n">
        <f aca="false">IF(B187=3,1,IFERROR(INDEX(PD_TermStructure!$C$2:$C$241,MATCH(C187&amp;"|"&amp;L187,PD_TermStructure!$D$2:$D$241,0)),0))</f>
        <v>0.109872</v>
      </c>
      <c r="N187" s="22" t="n">
        <f aca="false">(1+E187/100)^(-(L187/12)/2)</f>
        <v>0.948773435808663</v>
      </c>
      <c r="O187" s="32" t="n">
        <f aca="false">IF(H187&lt;=0,0,M187*Assumptions!$B$3*H187*N187)</f>
        <v>115560.821144919</v>
      </c>
      <c r="P187" s="25" t="n">
        <v>115560.82</v>
      </c>
      <c r="Q187" s="32" t="n">
        <f aca="false">O187-P187</f>
        <v>0.001144919267972</v>
      </c>
    </row>
    <row r="188" customFormat="false" ht="15" hidden="false" customHeight="false" outlineLevel="0" collapsed="false">
      <c r="A188" s="14" t="s">
        <v>357</v>
      </c>
      <c r="B188" s="14" t="n">
        <v>1</v>
      </c>
      <c r="C188" s="14" t="s">
        <v>154</v>
      </c>
      <c r="D188" s="14" t="n">
        <v>23</v>
      </c>
      <c r="E188" s="14" t="n">
        <v>7.59</v>
      </c>
      <c r="F188" s="31" t="n">
        <v>0.019</v>
      </c>
      <c r="G188" s="31" t="n">
        <v>0.6248</v>
      </c>
      <c r="H188" s="25" t="n">
        <v>400728.92</v>
      </c>
      <c r="I188" s="25" t="n">
        <v>4757.13</v>
      </c>
      <c r="J188" s="32" t="n">
        <f aca="false">F188*G188*H188</f>
        <v>4757.133155104</v>
      </c>
      <c r="K188" s="32" t="n">
        <f aca="false">J188-I188</f>
        <v>0.00315510400014318</v>
      </c>
      <c r="L188" s="28" t="n">
        <f aca="false">IF(B188=1,12,IF(B188=2,MIN(MAX(D188,1),60),6))</f>
        <v>12</v>
      </c>
      <c r="M188" s="11" t="n">
        <f aca="false">IF(B188=3,1,IFERROR(INDEX(PD_TermStructure!$C$2:$C$241,MATCH(C188&amp;"|"&amp;L188,PD_TermStructure!$D$2:$D$241,0)),0))</f>
        <v>0.109872</v>
      </c>
      <c r="N188" s="22" t="n">
        <f aca="false">(1+E188/100)^(-(L188/12)/2)</f>
        <v>0.964082159497403</v>
      </c>
      <c r="O188" s="32" t="n">
        <f aca="false">IF(H188&lt;=0,0,M188*Assumptions!$B$3*H188*N188)</f>
        <v>17603.7946306555</v>
      </c>
      <c r="P188" s="25" t="n">
        <v>17603.79</v>
      </c>
      <c r="Q188" s="32" t="n">
        <f aca="false">O188-P188</f>
        <v>0.0046306554977491</v>
      </c>
    </row>
    <row r="189" customFormat="false" ht="15" hidden="false" customHeight="false" outlineLevel="0" collapsed="false">
      <c r="A189" s="14" t="s">
        <v>358</v>
      </c>
      <c r="B189" s="14" t="n">
        <v>1</v>
      </c>
      <c r="C189" s="14" t="s">
        <v>154</v>
      </c>
      <c r="D189" s="14" t="n">
        <v>32</v>
      </c>
      <c r="E189" s="14" t="n">
        <v>8.4</v>
      </c>
      <c r="F189" s="31" t="n">
        <v>0.0196</v>
      </c>
      <c r="G189" s="31" t="n">
        <v>0.6226</v>
      </c>
      <c r="H189" s="25" t="n">
        <v>521335.49</v>
      </c>
      <c r="I189" s="25" t="n">
        <v>6361.84</v>
      </c>
      <c r="J189" s="32" t="n">
        <f aca="false">F189*G189*H189</f>
        <v>6361.8361310504</v>
      </c>
      <c r="K189" s="32" t="n">
        <f aca="false">J189-I189</f>
        <v>-0.00386894959956408</v>
      </c>
      <c r="L189" s="28" t="n">
        <f aca="false">IF(B189=1,12,IF(B189=2,MIN(MAX(D189,1),60),6))</f>
        <v>12</v>
      </c>
      <c r="M189" s="11" t="n">
        <f aca="false">IF(B189=3,1,IFERROR(INDEX(PD_TermStructure!$C$2:$C$241,MATCH(C189&amp;"|"&amp;L189,PD_TermStructure!$D$2:$D$241,0)),0))</f>
        <v>0.109872</v>
      </c>
      <c r="N189" s="22" t="n">
        <f aca="false">(1+E189/100)^(-(L189/12)/2)</f>
        <v>0.960473437994123</v>
      </c>
      <c r="O189" s="32" t="n">
        <f aca="false">IF(H189&lt;=0,0,M189*Assumptions!$B$3*H189*N189)</f>
        <v>22816.2470509587</v>
      </c>
      <c r="P189" s="25" t="n">
        <v>22816.25</v>
      </c>
      <c r="Q189" s="32" t="n">
        <f aca="false">O189-P189</f>
        <v>-0.00294904127076734</v>
      </c>
    </row>
    <row r="190" customFormat="false" ht="15" hidden="false" customHeight="false" outlineLevel="0" collapsed="false">
      <c r="A190" s="14" t="s">
        <v>359</v>
      </c>
      <c r="B190" s="14" t="n">
        <v>1</v>
      </c>
      <c r="C190" s="14" t="s">
        <v>154</v>
      </c>
      <c r="D190" s="14" t="n">
        <v>28</v>
      </c>
      <c r="E190" s="14" t="n">
        <v>14.14</v>
      </c>
      <c r="F190" s="31" t="n">
        <v>0.025</v>
      </c>
      <c r="G190" s="31" t="n">
        <v>0.6054</v>
      </c>
      <c r="H190" s="25" t="n">
        <v>185688.35</v>
      </c>
      <c r="I190" s="25" t="n">
        <v>2810.39</v>
      </c>
      <c r="J190" s="32" t="n">
        <f aca="false">F190*G190*H190</f>
        <v>2810.39317725</v>
      </c>
      <c r="K190" s="32" t="n">
        <f aca="false">J190-I190</f>
        <v>0.00317725000058999</v>
      </c>
      <c r="L190" s="28" t="n">
        <f aca="false">IF(B190=1,12,IF(B190=2,MIN(MAX(D190,1),60),6))</f>
        <v>12</v>
      </c>
      <c r="M190" s="11" t="n">
        <f aca="false">IF(B190=3,1,IFERROR(INDEX(PD_TermStructure!$C$2:$C$241,MATCH(C190&amp;"|"&amp;L190,PD_TermStructure!$D$2:$D$241,0)),0))</f>
        <v>0.109872</v>
      </c>
      <c r="N190" s="22" t="n">
        <f aca="false">(1+E190/100)^(-(L190/12)/2)</f>
        <v>0.936011244183412</v>
      </c>
      <c r="O190" s="32" t="n">
        <f aca="false">IF(H190&lt;=0,0,M190*Assumptions!$B$3*H190*N190)</f>
        <v>7919.67362196985</v>
      </c>
      <c r="P190" s="25" t="n">
        <v>7919.67</v>
      </c>
      <c r="Q190" s="32" t="n">
        <f aca="false">O190-P190</f>
        <v>0.00362196985406627</v>
      </c>
    </row>
    <row r="191" customFormat="false" ht="15" hidden="false" customHeight="false" outlineLevel="0" collapsed="false">
      <c r="A191" s="14" t="s">
        <v>360</v>
      </c>
      <c r="B191" s="14" t="n">
        <v>1</v>
      </c>
      <c r="C191" s="14" t="s">
        <v>154</v>
      </c>
      <c r="D191" s="14" t="n">
        <v>16</v>
      </c>
      <c r="E191" s="14" t="n">
        <v>10.76</v>
      </c>
      <c r="F191" s="31" t="n">
        <v>0.0163</v>
      </c>
      <c r="G191" s="31" t="n">
        <v>0.3709</v>
      </c>
      <c r="H191" s="25" t="n">
        <v>472764.93</v>
      </c>
      <c r="I191" s="25" t="n">
        <v>2858.18</v>
      </c>
      <c r="J191" s="32" t="n">
        <f aca="false">F191*G191*H191</f>
        <v>2858.1807543531</v>
      </c>
      <c r="K191" s="32" t="n">
        <f aca="false">J191-I191</f>
        <v>0.000754353100091976</v>
      </c>
      <c r="L191" s="28" t="n">
        <f aca="false">IF(B191=1,12,IF(B191=2,MIN(MAX(D191,1),60),6))</f>
        <v>12</v>
      </c>
      <c r="M191" s="11" t="n">
        <f aca="false">IF(B191=3,1,IFERROR(INDEX(PD_TermStructure!$C$2:$C$241,MATCH(C191&amp;"|"&amp;L191,PD_TermStructure!$D$2:$D$241,0)),0))</f>
        <v>0.109872</v>
      </c>
      <c r="N191" s="22" t="n">
        <f aca="false">(1+E191/100)^(-(L191/12)/2)</f>
        <v>0.950185779481609</v>
      </c>
      <c r="O191" s="32" t="n">
        <f aca="false">IF(H191&lt;=0,0,M191*Assumptions!$B$3*H191*N191)</f>
        <v>20468.9394108199</v>
      </c>
      <c r="P191" s="25" t="n">
        <v>20468.94</v>
      </c>
      <c r="Q191" s="32" t="n">
        <f aca="false">O191-P191</f>
        <v>-0.000589180137467338</v>
      </c>
    </row>
    <row r="192" customFormat="false" ht="15" hidden="false" customHeight="false" outlineLevel="0" collapsed="false">
      <c r="A192" s="14" t="s">
        <v>361</v>
      </c>
      <c r="B192" s="14" t="n">
        <v>1</v>
      </c>
      <c r="C192" s="14" t="s">
        <v>155</v>
      </c>
      <c r="D192" s="14" t="n">
        <v>65</v>
      </c>
      <c r="E192" s="14" t="n">
        <v>14.34</v>
      </c>
      <c r="F192" s="31" t="n">
        <v>0.0183</v>
      </c>
      <c r="G192" s="31" t="n">
        <v>0.55</v>
      </c>
      <c r="H192" s="25" t="n">
        <v>272865.23</v>
      </c>
      <c r="I192" s="25" t="n">
        <v>2746.39</v>
      </c>
      <c r="J192" s="32" t="n">
        <f aca="false">F192*G192*H192</f>
        <v>2746.38853995</v>
      </c>
      <c r="K192" s="32" t="n">
        <f aca="false">J192-I192</f>
        <v>-0.00146004999987781</v>
      </c>
      <c r="L192" s="28" t="n">
        <f aca="false">IF(B192=1,12,IF(B192=2,MIN(MAX(D192,1),60),6))</f>
        <v>12</v>
      </c>
      <c r="M192" s="11" t="n">
        <f aca="false">IF(B192=3,1,IFERROR(INDEX(PD_TermStructure!$C$2:$C$241,MATCH(C192&amp;"|"&amp;L192,PD_TermStructure!$D$2:$D$241,0)),0))</f>
        <v>0.164153</v>
      </c>
      <c r="N192" s="22" t="n">
        <f aca="false">(1+E192/100)^(-(L192/12)/2)</f>
        <v>0.935192264899654</v>
      </c>
      <c r="O192" s="32" t="n">
        <f aca="false">IF(H192&lt;=0,0,M192*Assumptions!$B$3*H192*N192)</f>
        <v>17372.1055865913</v>
      </c>
      <c r="P192" s="25" t="n">
        <v>17372.11</v>
      </c>
      <c r="Q192" s="32" t="n">
        <f aca="false">O192-P192</f>
        <v>-0.0044134086710983</v>
      </c>
    </row>
    <row r="193" customFormat="false" ht="15" hidden="false" customHeight="false" outlineLevel="0" collapsed="false">
      <c r="A193" s="14" t="s">
        <v>362</v>
      </c>
      <c r="B193" s="14" t="n">
        <v>1</v>
      </c>
      <c r="C193" s="14" t="s">
        <v>155</v>
      </c>
      <c r="D193" s="14" t="n">
        <v>23</v>
      </c>
      <c r="E193" s="14" t="n">
        <v>10.99</v>
      </c>
      <c r="F193" s="31" t="n">
        <v>0.0254</v>
      </c>
      <c r="G193" s="31" t="n">
        <v>0.3595</v>
      </c>
      <c r="H193" s="25" t="n">
        <v>325086.02</v>
      </c>
      <c r="I193" s="25" t="n">
        <v>2968.46</v>
      </c>
      <c r="J193" s="32" t="n">
        <f aca="false">F193*G193*H193</f>
        <v>2968.457974426</v>
      </c>
      <c r="K193" s="32" t="n">
        <f aca="false">J193-I193</f>
        <v>-0.00202557400052683</v>
      </c>
      <c r="L193" s="28" t="n">
        <f aca="false">IF(B193=1,12,IF(B193=2,MIN(MAX(D193,1),60),6))</f>
        <v>12</v>
      </c>
      <c r="M193" s="11" t="n">
        <f aca="false">IF(B193=3,1,IFERROR(INDEX(PD_TermStructure!$C$2:$C$241,MATCH(C193&amp;"|"&amp;L193,PD_TermStructure!$D$2:$D$241,0)),0))</f>
        <v>0.164153</v>
      </c>
      <c r="N193" s="22" t="n">
        <f aca="false">(1+E193/100)^(-(L193/12)/2)</f>
        <v>0.949200753506232</v>
      </c>
      <c r="O193" s="32" t="n">
        <f aca="false">IF(H193&lt;=0,0,M193*Assumptions!$B$3*H193*N193)</f>
        <v>21006.7914098138</v>
      </c>
      <c r="P193" s="25" t="n">
        <v>21006.79</v>
      </c>
      <c r="Q193" s="32" t="n">
        <f aca="false">O193-P193</f>
        <v>0.00140981375443516</v>
      </c>
    </row>
    <row r="194" customFormat="false" ht="15" hidden="false" customHeight="false" outlineLevel="0" collapsed="false">
      <c r="A194" s="14" t="s">
        <v>363</v>
      </c>
      <c r="B194" s="14" t="n">
        <v>1</v>
      </c>
      <c r="C194" s="14" t="s">
        <v>154</v>
      </c>
      <c r="D194" s="14" t="n">
        <v>29</v>
      </c>
      <c r="E194" s="14" t="n">
        <v>8.44</v>
      </c>
      <c r="F194" s="31" t="n">
        <v>0.0232</v>
      </c>
      <c r="G194" s="31" t="n">
        <v>0.4353</v>
      </c>
      <c r="H194" s="25" t="n">
        <v>853290.46</v>
      </c>
      <c r="I194" s="25" t="n">
        <v>8617.35</v>
      </c>
      <c r="J194" s="32" t="n">
        <f aca="false">F194*G194*H194</f>
        <v>8617.3462239216</v>
      </c>
      <c r="K194" s="32" t="n">
        <f aca="false">J194-I194</f>
        <v>-0.00377607839982375</v>
      </c>
      <c r="L194" s="28" t="n">
        <f aca="false">IF(B194=1,12,IF(B194=2,MIN(MAX(D194,1),60),6))</f>
        <v>12</v>
      </c>
      <c r="M194" s="11" t="n">
        <f aca="false">IF(B194=3,1,IFERROR(INDEX(PD_TermStructure!$C$2:$C$241,MATCH(C194&amp;"|"&amp;L194,PD_TermStructure!$D$2:$D$241,0)),0))</f>
        <v>0.109872</v>
      </c>
      <c r="N194" s="22" t="n">
        <f aca="false">(1+E194/100)^(-(L194/12)/2)</f>
        <v>0.960296277900761</v>
      </c>
      <c r="O194" s="32" t="n">
        <f aca="false">IF(H194&lt;=0,0,M194*Assumptions!$B$3*H194*N194)</f>
        <v>37337.3677092508</v>
      </c>
      <c r="P194" s="25" t="n">
        <v>37337.37</v>
      </c>
      <c r="Q194" s="32" t="n">
        <f aca="false">O194-P194</f>
        <v>-0.00229074919479899</v>
      </c>
    </row>
    <row r="195" customFormat="false" ht="15" hidden="false" customHeight="false" outlineLevel="0" collapsed="false">
      <c r="A195" s="14" t="s">
        <v>364</v>
      </c>
      <c r="B195" s="14" t="n">
        <v>1</v>
      </c>
      <c r="C195" s="14" t="s">
        <v>154</v>
      </c>
      <c r="D195" s="14" t="n">
        <v>57</v>
      </c>
      <c r="E195" s="14" t="n">
        <v>11.65</v>
      </c>
      <c r="F195" s="31" t="n">
        <v>0.0179</v>
      </c>
      <c r="G195" s="31" t="n">
        <v>0.3793</v>
      </c>
      <c r="H195" s="25" t="n">
        <v>683243.65</v>
      </c>
      <c r="I195" s="25" t="n">
        <v>4638.86</v>
      </c>
      <c r="J195" s="32" t="n">
        <f aca="false">F195*G195*H195</f>
        <v>4638.8622643655</v>
      </c>
      <c r="K195" s="32" t="n">
        <f aca="false">J195-I195</f>
        <v>0.0022643655011052</v>
      </c>
      <c r="L195" s="28" t="n">
        <f aca="false">IF(B195=1,12,IF(B195=2,MIN(MAX(D195,1),60),6))</f>
        <v>12</v>
      </c>
      <c r="M195" s="11" t="n">
        <f aca="false">IF(B195=3,1,IFERROR(INDEX(PD_TermStructure!$C$2:$C$241,MATCH(C195&amp;"|"&amp;L195,PD_TermStructure!$D$2:$D$241,0)),0))</f>
        <v>0.109872</v>
      </c>
      <c r="N195" s="22" t="n">
        <f aca="false">(1+E195/100)^(-(L195/12)/2)</f>
        <v>0.946391075649946</v>
      </c>
      <c r="O195" s="32" t="n">
        <f aca="false">IF(H195&lt;=0,0,M195*Assumptions!$B$3*H195*N195)</f>
        <v>29463.7351213455</v>
      </c>
      <c r="P195" s="25" t="n">
        <v>29463.74</v>
      </c>
      <c r="Q195" s="32" t="n">
        <f aca="false">O195-P195</f>
        <v>-0.00487865449395031</v>
      </c>
    </row>
    <row r="196" customFormat="false" ht="15" hidden="false" customHeight="false" outlineLevel="0" collapsed="false">
      <c r="A196" s="14" t="s">
        <v>365</v>
      </c>
      <c r="B196" s="14" t="n">
        <v>1</v>
      </c>
      <c r="C196" s="14" t="s">
        <v>154</v>
      </c>
      <c r="D196" s="14" t="n">
        <v>35</v>
      </c>
      <c r="E196" s="14" t="n">
        <v>9.36</v>
      </c>
      <c r="F196" s="31" t="n">
        <v>0.0201</v>
      </c>
      <c r="G196" s="31" t="n">
        <v>0.44</v>
      </c>
      <c r="H196" s="25" t="n">
        <v>477011.67</v>
      </c>
      <c r="I196" s="25" t="n">
        <v>4218.69</v>
      </c>
      <c r="J196" s="32" t="n">
        <f aca="false">F196*G196*H196</f>
        <v>4218.69120948</v>
      </c>
      <c r="K196" s="32" t="n">
        <f aca="false">J196-I196</f>
        <v>0.00120948000039789</v>
      </c>
      <c r="L196" s="28" t="n">
        <f aca="false">IF(B196=1,12,IF(B196=2,MIN(MAX(D196,1),60),6))</f>
        <v>12</v>
      </c>
      <c r="M196" s="11" t="n">
        <f aca="false">IF(B196=3,1,IFERROR(INDEX(PD_TermStructure!$C$2:$C$241,MATCH(C196&amp;"|"&amp;L196,PD_TermStructure!$D$2:$D$241,0)),0))</f>
        <v>0.109872</v>
      </c>
      <c r="N196" s="22" t="n">
        <f aca="false">(1+E196/100)^(-(L196/12)/2)</f>
        <v>0.956248461038871</v>
      </c>
      <c r="O196" s="32" t="n">
        <f aca="false">IF(H196&lt;=0,0,M196*Assumptions!$B$3*H196*N196)</f>
        <v>20784.5829422267</v>
      </c>
      <c r="P196" s="25" t="n">
        <v>20784.58</v>
      </c>
      <c r="Q196" s="32" t="n">
        <f aca="false">O196-P196</f>
        <v>0.00294222669617739</v>
      </c>
    </row>
    <row r="197" customFormat="false" ht="15" hidden="false" customHeight="false" outlineLevel="0" collapsed="false">
      <c r="A197" s="14" t="s">
        <v>366</v>
      </c>
      <c r="B197" s="14" t="n">
        <v>1</v>
      </c>
      <c r="C197" s="14" t="s">
        <v>154</v>
      </c>
      <c r="D197" s="14" t="n">
        <v>39</v>
      </c>
      <c r="E197" s="14" t="n">
        <v>12.13</v>
      </c>
      <c r="F197" s="31" t="n">
        <v>0.0242</v>
      </c>
      <c r="G197" s="31" t="n">
        <v>0.4301</v>
      </c>
      <c r="H197" s="25" t="n">
        <v>1115492.31</v>
      </c>
      <c r="I197" s="25" t="n">
        <v>11610.51</v>
      </c>
      <c r="J197" s="32" t="n">
        <f aca="false">F197*G197*H197</f>
        <v>11610.5124692502</v>
      </c>
      <c r="K197" s="32" t="n">
        <f aca="false">J197-I197</f>
        <v>0.00246925019928312</v>
      </c>
      <c r="L197" s="28" t="n">
        <f aca="false">IF(B197=1,12,IF(B197=2,MIN(MAX(D197,1),60),6))</f>
        <v>12</v>
      </c>
      <c r="M197" s="11" t="n">
        <f aca="false">IF(B197=3,1,IFERROR(INDEX(PD_TermStructure!$C$2:$C$241,MATCH(C197&amp;"|"&amp;L197,PD_TermStructure!$D$2:$D$241,0)),0))</f>
        <v>0.109872</v>
      </c>
      <c r="N197" s="22" t="n">
        <f aca="false">(1+E197/100)^(-(L197/12)/2)</f>
        <v>0.944363273497191</v>
      </c>
      <c r="O197" s="32" t="n">
        <f aca="false">IF(H197&lt;=0,0,M197*Assumptions!$B$3*H197*N197)</f>
        <v>48000.6624200998</v>
      </c>
      <c r="P197" s="25" t="n">
        <v>48000.66</v>
      </c>
      <c r="Q197" s="32" t="n">
        <f aca="false">O197-P197</f>
        <v>0.00242009980865987</v>
      </c>
    </row>
    <row r="198" customFormat="false" ht="15" hidden="false" customHeight="false" outlineLevel="0" collapsed="false">
      <c r="A198" s="14" t="s">
        <v>367</v>
      </c>
      <c r="B198" s="14" t="n">
        <v>1</v>
      </c>
      <c r="C198" s="14" t="s">
        <v>155</v>
      </c>
      <c r="D198" s="14" t="n">
        <v>0</v>
      </c>
      <c r="E198" s="14" t="n">
        <v>8.91</v>
      </c>
      <c r="F198" s="31" t="n">
        <v>0.0253</v>
      </c>
      <c r="G198" s="31" t="n">
        <v>0.5673</v>
      </c>
      <c r="H198" s="25" t="n">
        <v>0</v>
      </c>
      <c r="I198" s="25" t="n">
        <v>0</v>
      </c>
      <c r="J198" s="32" t="n">
        <f aca="false">F198*G198*H198</f>
        <v>0</v>
      </c>
      <c r="K198" s="32" t="n">
        <f aca="false">J198-I198</f>
        <v>0</v>
      </c>
      <c r="L198" s="28" t="n">
        <f aca="false">IF(B198=1,12,IF(B198=2,MIN(MAX(D198,1),60),6))</f>
        <v>12</v>
      </c>
      <c r="M198" s="11" t="n">
        <f aca="false">IF(B198=3,1,IFERROR(INDEX(PD_TermStructure!$C$2:$C$241,MATCH(C198&amp;"|"&amp;L198,PD_TermStructure!$D$2:$D$241,0)),0))</f>
        <v>0.164153</v>
      </c>
      <c r="N198" s="22" t="n">
        <f aca="false">(1+E198/100)^(-(L198/12)/2)</f>
        <v>0.958221963137966</v>
      </c>
      <c r="O198" s="32" t="n">
        <f aca="false">IF(H198&lt;=0,0,M198*Assumptions!$B$3*H198*N198)</f>
        <v>0</v>
      </c>
      <c r="P198" s="25" t="n">
        <v>0</v>
      </c>
      <c r="Q198" s="32" t="n">
        <f aca="false">O198-P198</f>
        <v>0</v>
      </c>
    </row>
    <row r="199" customFormat="false" ht="15" hidden="false" customHeight="false" outlineLevel="0" collapsed="false">
      <c r="A199" s="14" t="s">
        <v>368</v>
      </c>
      <c r="B199" s="14" t="n">
        <v>1</v>
      </c>
      <c r="C199" s="14" t="s">
        <v>154</v>
      </c>
      <c r="D199" s="14" t="n">
        <v>54</v>
      </c>
      <c r="E199" s="14" t="n">
        <v>9.81</v>
      </c>
      <c r="F199" s="31" t="n">
        <v>0.0205</v>
      </c>
      <c r="G199" s="31" t="n">
        <v>0.4925</v>
      </c>
      <c r="H199" s="25" t="n">
        <v>319260.65</v>
      </c>
      <c r="I199" s="25" t="n">
        <v>3223.34</v>
      </c>
      <c r="J199" s="32" t="n">
        <f aca="false">F199*G199*H199</f>
        <v>3223.3353375625</v>
      </c>
      <c r="K199" s="32" t="n">
        <f aca="false">J199-I199</f>
        <v>-0.004662437499519</v>
      </c>
      <c r="L199" s="28" t="n">
        <f aca="false">IF(B199=1,12,IF(B199=2,MIN(MAX(D199,1),60),6))</f>
        <v>12</v>
      </c>
      <c r="M199" s="11" t="n">
        <f aca="false">IF(B199=3,1,IFERROR(INDEX(PD_TermStructure!$C$2:$C$241,MATCH(C199&amp;"|"&amp;L199,PD_TermStructure!$D$2:$D$241,0)),0))</f>
        <v>0.109872</v>
      </c>
      <c r="N199" s="22" t="n">
        <f aca="false">(1+E199/100)^(-(L199/12)/2)</f>
        <v>0.954287102482329</v>
      </c>
      <c r="O199" s="32" t="n">
        <f aca="false">IF(H199&lt;=0,0,M199*Assumptions!$B$3*H199*N199)</f>
        <v>13882.446514198</v>
      </c>
      <c r="P199" s="25" t="n">
        <v>13882.45</v>
      </c>
      <c r="Q199" s="32" t="n">
        <f aca="false">O199-P199</f>
        <v>-0.00348580199715798</v>
      </c>
    </row>
    <row r="200" customFormat="false" ht="15" hidden="false" customHeight="false" outlineLevel="0" collapsed="false">
      <c r="A200" s="14" t="s">
        <v>369</v>
      </c>
      <c r="B200" s="14" t="n">
        <v>2</v>
      </c>
      <c r="C200" s="14" t="s">
        <v>157</v>
      </c>
      <c r="D200" s="14" t="n">
        <v>23</v>
      </c>
      <c r="E200" s="14" t="n">
        <v>9.27</v>
      </c>
      <c r="F200" s="31" t="n">
        <v>0.1408</v>
      </c>
      <c r="G200" s="31" t="n">
        <v>0.4322</v>
      </c>
      <c r="H200" s="25" t="n">
        <v>378219.31</v>
      </c>
      <c r="I200" s="25" t="n">
        <v>23016.07</v>
      </c>
      <c r="J200" s="32" t="n">
        <f aca="false">F200*G200*H200</f>
        <v>23016.0671181056</v>
      </c>
      <c r="K200" s="32" t="n">
        <f aca="false">J200-I200</f>
        <v>-0.00288189440107089</v>
      </c>
      <c r="L200" s="28" t="n">
        <f aca="false">IF(B200=1,12,IF(B200=2,MIN(MAX(D200,1),60),6))</f>
        <v>23</v>
      </c>
      <c r="M200" s="11" t="n">
        <f aca="false">IF(B200=3,1,IFERROR(INDEX(PD_TermStructure!$C$2:$C$241,MATCH(C200&amp;"|"&amp;L200,PD_TermStructure!$D$2:$D$241,0)),0))</f>
        <v>0.999975</v>
      </c>
      <c r="N200" s="22" t="n">
        <f aca="false">(1+E200/100)^(-(L200/12)/2)</f>
        <v>0.918550975836564</v>
      </c>
      <c r="O200" s="32" t="n">
        <f aca="false">IF(H200&lt;=0,0,M200*Assumptions!$B$3*H200*N200)</f>
        <v>144075.665565234</v>
      </c>
      <c r="P200" s="25" t="n">
        <v>144075.67</v>
      </c>
      <c r="Q200" s="32" t="n">
        <f aca="false">O200-P200</f>
        <v>-0.00443476627697237</v>
      </c>
    </row>
    <row r="201" customFormat="false" ht="15" hidden="false" customHeight="false" outlineLevel="0" collapsed="false">
      <c r="A201" s="14" t="s">
        <v>370</v>
      </c>
      <c r="B201" s="14" t="n">
        <v>1</v>
      </c>
      <c r="C201" s="14" t="s">
        <v>154</v>
      </c>
      <c r="D201" s="14" t="n">
        <v>45</v>
      </c>
      <c r="E201" s="14" t="n">
        <v>12.66</v>
      </c>
      <c r="F201" s="31" t="n">
        <v>0.0242</v>
      </c>
      <c r="G201" s="31" t="n">
        <v>0.5557</v>
      </c>
      <c r="H201" s="25" t="n">
        <v>283683.65</v>
      </c>
      <c r="I201" s="25" t="n">
        <v>3814.96</v>
      </c>
      <c r="J201" s="32" t="n">
        <f aca="false">F201*G201*H201</f>
        <v>3814.960704181</v>
      </c>
      <c r="K201" s="32" t="n">
        <f aca="false">J201-I201</f>
        <v>0.000704180999946402</v>
      </c>
      <c r="L201" s="28" t="n">
        <f aca="false">IF(B201=1,12,IF(B201=2,MIN(MAX(D201,1),60),6))</f>
        <v>12</v>
      </c>
      <c r="M201" s="11" t="n">
        <f aca="false">IF(B201=3,1,IFERROR(INDEX(PD_TermStructure!$C$2:$C$241,MATCH(C201&amp;"|"&amp;L201,PD_TermStructure!$D$2:$D$241,0)),0))</f>
        <v>0.109872</v>
      </c>
      <c r="N201" s="22" t="n">
        <f aca="false">(1+E201/100)^(-(L201/12)/2)</f>
        <v>0.942139313888538</v>
      </c>
      <c r="O201" s="32" t="n">
        <f aca="false">IF(H201&lt;=0,0,M201*Assumptions!$B$3*H201*N201)</f>
        <v>12178.4212969443</v>
      </c>
      <c r="P201" s="25" t="n">
        <v>12178.42</v>
      </c>
      <c r="Q201" s="32" t="n">
        <f aca="false">O201-P201</f>
        <v>0.00129694434144767</v>
      </c>
    </row>
    <row r="202" customFormat="false" ht="15" hidden="false" customHeight="false" outlineLevel="0" collapsed="false">
      <c r="A202" s="14" t="s">
        <v>371</v>
      </c>
      <c r="B202" s="14" t="n">
        <v>1</v>
      </c>
      <c r="C202" s="14" t="s">
        <v>154</v>
      </c>
      <c r="D202" s="14" t="n">
        <v>13</v>
      </c>
      <c r="E202" s="14" t="n">
        <v>14.14</v>
      </c>
      <c r="F202" s="31" t="n">
        <v>0.0226</v>
      </c>
      <c r="G202" s="31" t="n">
        <v>0.4805</v>
      </c>
      <c r="H202" s="25" t="n">
        <v>247040.19</v>
      </c>
      <c r="I202" s="25" t="n">
        <v>2682.68</v>
      </c>
      <c r="J202" s="32" t="n">
        <f aca="false">F202*G202*H202</f>
        <v>2682.683535267</v>
      </c>
      <c r="K202" s="32" t="n">
        <f aca="false">J202-I202</f>
        <v>0.00353526699973372</v>
      </c>
      <c r="L202" s="28" t="n">
        <f aca="false">IF(B202=1,12,IF(B202=2,MIN(MAX(D202,1),60),6))</f>
        <v>12</v>
      </c>
      <c r="M202" s="11" t="n">
        <f aca="false">IF(B202=3,1,IFERROR(INDEX(PD_TermStructure!$C$2:$C$241,MATCH(C202&amp;"|"&amp;L202,PD_TermStructure!$D$2:$D$241,0)),0))</f>
        <v>0.109872</v>
      </c>
      <c r="N202" s="22" t="n">
        <f aca="false">(1+E202/100)^(-(L202/12)/2)</f>
        <v>0.936011244183412</v>
      </c>
      <c r="O202" s="32" t="n">
        <f aca="false">IF(H202&lt;=0,0,M202*Assumptions!$B$3*H202*N202)</f>
        <v>10536.351237487</v>
      </c>
      <c r="P202" s="25" t="n">
        <v>10536.35</v>
      </c>
      <c r="Q202" s="32" t="n">
        <f aca="false">O202-P202</f>
        <v>0.00123748700934812</v>
      </c>
    </row>
    <row r="203" customFormat="false" ht="15" hidden="false" customHeight="false" outlineLevel="0" collapsed="false">
      <c r="A203" s="14" t="s">
        <v>372</v>
      </c>
      <c r="B203" s="14" t="n">
        <v>1</v>
      </c>
      <c r="C203" s="14" t="s">
        <v>154</v>
      </c>
      <c r="D203" s="14" t="n">
        <v>20</v>
      </c>
      <c r="E203" s="14" t="n">
        <v>14.47</v>
      </c>
      <c r="F203" s="31" t="n">
        <v>0.0222</v>
      </c>
      <c r="G203" s="31" t="n">
        <v>0.564</v>
      </c>
      <c r="H203" s="25" t="n">
        <v>329138.98</v>
      </c>
      <c r="I203" s="25" t="n">
        <v>4121.08</v>
      </c>
      <c r="J203" s="32" t="n">
        <f aca="false">F203*G203*H203</f>
        <v>4121.083340784</v>
      </c>
      <c r="K203" s="32" t="n">
        <f aca="false">J203-I203</f>
        <v>0.00334078399919235</v>
      </c>
      <c r="L203" s="28" t="n">
        <f aca="false">IF(B203=1,12,IF(B203=2,MIN(MAX(D203,1),60),6))</f>
        <v>12</v>
      </c>
      <c r="M203" s="11" t="n">
        <f aca="false">IF(B203=3,1,IFERROR(INDEX(PD_TermStructure!$C$2:$C$241,MATCH(C203&amp;"|"&amp;L203,PD_TermStructure!$D$2:$D$241,0)),0))</f>
        <v>0.109872</v>
      </c>
      <c r="N203" s="22" t="n">
        <f aca="false">(1+E203/100)^(-(L203/12)/2)</f>
        <v>0.934661079736375</v>
      </c>
      <c r="O203" s="32" t="n">
        <f aca="false">IF(H203&lt;=0,0,M203*Assumptions!$B$3*H203*N203)</f>
        <v>14017.6444032103</v>
      </c>
      <c r="P203" s="25" t="n">
        <v>14017.64</v>
      </c>
      <c r="Q203" s="32" t="n">
        <f aca="false">O203-P203</f>
        <v>0.00440321025780577</v>
      </c>
    </row>
    <row r="204" customFormat="false" ht="15" hidden="false" customHeight="false" outlineLevel="0" collapsed="false">
      <c r="A204" s="14" t="s">
        <v>373</v>
      </c>
      <c r="B204" s="14" t="n">
        <v>1</v>
      </c>
      <c r="C204" s="14" t="s">
        <v>154</v>
      </c>
      <c r="D204" s="14" t="n">
        <v>6</v>
      </c>
      <c r="E204" s="14" t="n">
        <v>9.28</v>
      </c>
      <c r="F204" s="31" t="n">
        <v>0.0157</v>
      </c>
      <c r="G204" s="31" t="n">
        <v>0.3851</v>
      </c>
      <c r="H204" s="25" t="n">
        <v>217007.13</v>
      </c>
      <c r="I204" s="25" t="n">
        <v>1312.04</v>
      </c>
      <c r="J204" s="32" t="n">
        <f aca="false">F204*G204*H204</f>
        <v>1312.0402984791</v>
      </c>
      <c r="K204" s="32" t="n">
        <f aca="false">J204-I204</f>
        <v>0.000298479099910765</v>
      </c>
      <c r="L204" s="28" t="n">
        <f aca="false">IF(B204=1,12,IF(B204=2,MIN(MAX(D204,1),60),6))</f>
        <v>12</v>
      </c>
      <c r="M204" s="11" t="n">
        <f aca="false">IF(B204=3,1,IFERROR(INDEX(PD_TermStructure!$C$2:$C$241,MATCH(C204&amp;"|"&amp;L204,PD_TermStructure!$D$2:$D$241,0)),0))</f>
        <v>0.109872</v>
      </c>
      <c r="N204" s="22" t="n">
        <f aca="false">(1+E204/100)^(-(L204/12)/2)</f>
        <v>0.956598414741726</v>
      </c>
      <c r="O204" s="32" t="n">
        <f aca="false">IF(H204&lt;=0,0,M204*Assumptions!$B$3*H204*N204)</f>
        <v>9458.9999090976</v>
      </c>
      <c r="P204" s="25" t="n">
        <v>9459</v>
      </c>
      <c r="Q204" s="32" t="n">
        <f aca="false">O204-P204</f>
        <v>-9.09024001884973E-005</v>
      </c>
    </row>
    <row r="205" customFormat="false" ht="15" hidden="false" customHeight="false" outlineLevel="0" collapsed="false">
      <c r="A205" s="14" t="s">
        <v>374</v>
      </c>
      <c r="B205" s="14" t="n">
        <v>1</v>
      </c>
      <c r="C205" s="14" t="s">
        <v>154</v>
      </c>
      <c r="D205" s="14" t="n">
        <v>22</v>
      </c>
      <c r="E205" s="14" t="n">
        <v>9.71</v>
      </c>
      <c r="F205" s="31" t="n">
        <v>0.0195</v>
      </c>
      <c r="G205" s="31" t="n">
        <v>0.3837</v>
      </c>
      <c r="H205" s="25" t="n">
        <v>823246.13</v>
      </c>
      <c r="I205" s="25" t="n">
        <v>6159.65</v>
      </c>
      <c r="J205" s="32" t="n">
        <f aca="false">F205*G205*H205</f>
        <v>6159.6510315795</v>
      </c>
      <c r="K205" s="32" t="n">
        <f aca="false">J205-I205</f>
        <v>0.00103157950070454</v>
      </c>
      <c r="L205" s="28" t="n">
        <f aca="false">IF(B205=1,12,IF(B205=2,MIN(MAX(D205,1),60),6))</f>
        <v>12</v>
      </c>
      <c r="M205" s="11" t="n">
        <f aca="false">IF(B205=3,1,IFERROR(INDEX(PD_TermStructure!$C$2:$C$241,MATCH(C205&amp;"|"&amp;L205,PD_TermStructure!$D$2:$D$241,0)),0))</f>
        <v>0.109872</v>
      </c>
      <c r="N205" s="22" t="n">
        <f aca="false">(1+E205/100)^(-(L205/12)/2)</f>
        <v>0.954721916877008</v>
      </c>
      <c r="O205" s="32" t="n">
        <f aca="false">IF(H205&lt;=0,0,M205*Assumptions!$B$3*H205*N205)</f>
        <v>35813.614246765</v>
      </c>
      <c r="P205" s="25" t="n">
        <v>35813.61</v>
      </c>
      <c r="Q205" s="32" t="n">
        <f aca="false">O205-P205</f>
        <v>0.00424676494731102</v>
      </c>
    </row>
    <row r="206" customFormat="false" ht="15" hidden="false" customHeight="false" outlineLevel="0" collapsed="false">
      <c r="A206" s="14" t="s">
        <v>375</v>
      </c>
      <c r="B206" s="14" t="n">
        <v>1</v>
      </c>
      <c r="C206" s="14" t="s">
        <v>154</v>
      </c>
      <c r="D206" s="14" t="n">
        <v>25</v>
      </c>
      <c r="E206" s="14" t="n">
        <v>11.18</v>
      </c>
      <c r="F206" s="31" t="n">
        <v>0.024</v>
      </c>
      <c r="G206" s="31" t="n">
        <v>0.5479</v>
      </c>
      <c r="H206" s="25" t="n">
        <v>620616.57</v>
      </c>
      <c r="I206" s="25" t="n">
        <v>8160.86</v>
      </c>
      <c r="J206" s="32" t="n">
        <f aca="false">F206*G206*H206</f>
        <v>8160.859648872</v>
      </c>
      <c r="K206" s="32" t="n">
        <f aca="false">J206-I206</f>
        <v>-0.000351128000147583</v>
      </c>
      <c r="L206" s="28" t="n">
        <f aca="false">IF(B206=1,12,IF(B206=2,MIN(MAX(D206,1),60),6))</f>
        <v>12</v>
      </c>
      <c r="M206" s="11" t="n">
        <f aca="false">IF(B206=3,1,IFERROR(INDEX(PD_TermStructure!$C$2:$C$241,MATCH(C206&amp;"|"&amp;L206,PD_TermStructure!$D$2:$D$241,0)),0))</f>
        <v>0.109872</v>
      </c>
      <c r="N206" s="22" t="n">
        <f aca="false">(1+E206/100)^(-(L206/12)/2)</f>
        <v>0.948389342910198</v>
      </c>
      <c r="O206" s="32" t="n">
        <f aca="false">IF(H206&lt;=0,0,M206*Assumptions!$B$3*H206*N206)</f>
        <v>26819.5565724604</v>
      </c>
      <c r="P206" s="25" t="n">
        <v>26819.56</v>
      </c>
      <c r="Q206" s="32" t="n">
        <f aca="false">O206-P206</f>
        <v>-0.00342753955919761</v>
      </c>
    </row>
    <row r="207" customFormat="false" ht="15" hidden="false" customHeight="false" outlineLevel="0" collapsed="false">
      <c r="A207" s="14" t="s">
        <v>376</v>
      </c>
      <c r="B207" s="14" t="n">
        <v>1</v>
      </c>
      <c r="C207" s="14" t="s">
        <v>155</v>
      </c>
      <c r="D207" s="14" t="n">
        <v>21</v>
      </c>
      <c r="E207" s="14" t="n">
        <v>12.71</v>
      </c>
      <c r="F207" s="31" t="n">
        <v>0.0248</v>
      </c>
      <c r="G207" s="31" t="n">
        <v>0.5311</v>
      </c>
      <c r="H207" s="25" t="n">
        <v>420283.82</v>
      </c>
      <c r="I207" s="25" t="n">
        <v>5535.68</v>
      </c>
      <c r="J207" s="32" t="n">
        <f aca="false">F207*G207*H207</f>
        <v>5535.6758726896</v>
      </c>
      <c r="K207" s="32" t="n">
        <f aca="false">J207-I207</f>
        <v>-0.00412731039978098</v>
      </c>
      <c r="L207" s="28" t="n">
        <f aca="false">IF(B207=1,12,IF(B207=2,MIN(MAX(D207,1),60),6))</f>
        <v>12</v>
      </c>
      <c r="M207" s="11" t="n">
        <f aca="false">IF(B207=3,1,IFERROR(INDEX(PD_TermStructure!$C$2:$C$241,MATCH(C207&amp;"|"&amp;L207,PD_TermStructure!$D$2:$D$241,0)),0))</f>
        <v>0.164153</v>
      </c>
      <c r="N207" s="22" t="n">
        <f aca="false">(1+E207/100)^(-(L207/12)/2)</f>
        <v>0.941930316500513</v>
      </c>
      <c r="O207" s="32" t="n">
        <f aca="false">IF(H207&lt;=0,0,M207*Assumptions!$B$3*H207*N207)</f>
        <v>26950.3743039775</v>
      </c>
      <c r="P207" s="25" t="n">
        <v>26950.37</v>
      </c>
      <c r="Q207" s="32" t="n">
        <f aca="false">O207-P207</f>
        <v>0.00430397747186362</v>
      </c>
    </row>
    <row r="208" customFormat="false" ht="15" hidden="false" customHeight="false" outlineLevel="0" collapsed="false">
      <c r="A208" s="14" t="s">
        <v>377</v>
      </c>
      <c r="B208" s="14" t="n">
        <v>1</v>
      </c>
      <c r="C208" s="14" t="s">
        <v>154</v>
      </c>
      <c r="D208" s="14" t="n">
        <v>76</v>
      </c>
      <c r="E208" s="14" t="n">
        <v>9.89</v>
      </c>
      <c r="F208" s="31" t="n">
        <v>0.0203</v>
      </c>
      <c r="G208" s="31" t="n">
        <v>0.4386</v>
      </c>
      <c r="H208" s="25" t="n">
        <v>1019620.05</v>
      </c>
      <c r="I208" s="25" t="n">
        <v>9078.27</v>
      </c>
      <c r="J208" s="32" t="n">
        <f aca="false">F208*G208*H208</f>
        <v>9078.268684779</v>
      </c>
      <c r="K208" s="32" t="n">
        <f aca="false">J208-I208</f>
        <v>-0.00131522100127768</v>
      </c>
      <c r="L208" s="28" t="n">
        <f aca="false">IF(B208=1,12,IF(B208=2,MIN(MAX(D208,1),60),6))</f>
        <v>12</v>
      </c>
      <c r="M208" s="11" t="n">
        <f aca="false">IF(B208=3,1,IFERROR(INDEX(PD_TermStructure!$C$2:$C$241,MATCH(C208&amp;"|"&amp;L208,PD_TermStructure!$D$2:$D$241,0)),0))</f>
        <v>0.109872</v>
      </c>
      <c r="N208" s="22" t="n">
        <f aca="false">(1+E208/100)^(-(L208/12)/2)</f>
        <v>0.953939678386904</v>
      </c>
      <c r="O208" s="32" t="n">
        <f aca="false">IF(H208&lt;=0,0,M208*Assumptions!$B$3*H208*N208)</f>
        <v>44320.1112035891</v>
      </c>
      <c r="P208" s="25" t="n">
        <v>44320.11</v>
      </c>
      <c r="Q208" s="32" t="n">
        <f aca="false">O208-P208</f>
        <v>0.00120358912681695</v>
      </c>
    </row>
    <row r="209" customFormat="false" ht="15" hidden="false" customHeight="false" outlineLevel="0" collapsed="false">
      <c r="A209" s="14" t="s">
        <v>378</v>
      </c>
      <c r="B209" s="14" t="n">
        <v>1</v>
      </c>
      <c r="C209" s="14" t="s">
        <v>154</v>
      </c>
      <c r="D209" s="14" t="n">
        <v>35</v>
      </c>
      <c r="E209" s="14" t="n">
        <v>12.68</v>
      </c>
      <c r="F209" s="31" t="n">
        <v>0.0162</v>
      </c>
      <c r="G209" s="31" t="n">
        <v>0.5741</v>
      </c>
      <c r="H209" s="25" t="n">
        <v>595398.35</v>
      </c>
      <c r="I209" s="25" t="n">
        <v>5537.45</v>
      </c>
      <c r="J209" s="32" t="n">
        <f aca="false">F209*G209*H209</f>
        <v>5537.454722307</v>
      </c>
      <c r="K209" s="32" t="n">
        <f aca="false">J209-I209</f>
        <v>0.00472230700052023</v>
      </c>
      <c r="L209" s="28" t="n">
        <f aca="false">IF(B209=1,12,IF(B209=2,MIN(MAX(D209,1),60),6))</f>
        <v>12</v>
      </c>
      <c r="M209" s="11" t="n">
        <f aca="false">IF(B209=3,1,IFERROR(INDEX(PD_TermStructure!$C$2:$C$241,MATCH(C209&amp;"|"&amp;L209,PD_TermStructure!$D$2:$D$241,0)),0))</f>
        <v>0.109872</v>
      </c>
      <c r="N209" s="22" t="n">
        <f aca="false">(1+E209/100)^(-(L209/12)/2)</f>
        <v>0.942055698240369</v>
      </c>
      <c r="O209" s="32" t="n">
        <f aca="false">IF(H209&lt;=0,0,M209*Assumptions!$B$3*H209*N209)</f>
        <v>25557.9354413303</v>
      </c>
      <c r="P209" s="25" t="n">
        <v>25557.94</v>
      </c>
      <c r="Q209" s="32" t="n">
        <f aca="false">O209-P209</f>
        <v>-0.00455866970514762</v>
      </c>
    </row>
    <row r="210" customFormat="false" ht="15" hidden="false" customHeight="false" outlineLevel="0" collapsed="false">
      <c r="A210" s="14" t="s">
        <v>379</v>
      </c>
      <c r="B210" s="14" t="n">
        <v>1</v>
      </c>
      <c r="C210" s="14" t="s">
        <v>155</v>
      </c>
      <c r="D210" s="14" t="n">
        <v>50</v>
      </c>
      <c r="E210" s="14" t="n">
        <v>10.03</v>
      </c>
      <c r="F210" s="31" t="n">
        <v>0.0197</v>
      </c>
      <c r="G210" s="31" t="n">
        <v>0.3565</v>
      </c>
      <c r="H210" s="25" t="n">
        <v>635852.24</v>
      </c>
      <c r="I210" s="25" t="n">
        <v>4465.62</v>
      </c>
      <c r="J210" s="32" t="n">
        <f aca="false">F210*G210*H210</f>
        <v>4465.622074132</v>
      </c>
      <c r="K210" s="32" t="n">
        <f aca="false">J210-I210</f>
        <v>0.00207413199950679</v>
      </c>
      <c r="L210" s="28" t="n">
        <f aca="false">IF(B210=1,12,IF(B210=2,MIN(MAX(D210,1),60),6))</f>
        <v>12</v>
      </c>
      <c r="M210" s="11" t="n">
        <f aca="false">IF(B210=3,1,IFERROR(INDEX(PD_TermStructure!$C$2:$C$241,MATCH(C210&amp;"|"&amp;L210,PD_TermStructure!$D$2:$D$241,0)),0))</f>
        <v>0.164153</v>
      </c>
      <c r="N210" s="22" t="n">
        <f aca="false">(1+E210/100)^(-(L210/12)/2)</f>
        <v>0.953332598208258</v>
      </c>
      <c r="O210" s="32" t="n">
        <f aca="false">IF(H210&lt;=0,0,M210*Assumptions!$B$3*H210*N210)</f>
        <v>41267.1051289249</v>
      </c>
      <c r="P210" s="25" t="n">
        <v>41267.11</v>
      </c>
      <c r="Q210" s="32" t="n">
        <f aca="false">O210-P210</f>
        <v>-0.0048710751143517</v>
      </c>
    </row>
    <row r="211" customFormat="false" ht="15" hidden="false" customHeight="false" outlineLevel="0" collapsed="false">
      <c r="A211" s="14" t="s">
        <v>380</v>
      </c>
      <c r="B211" s="14" t="n">
        <v>1</v>
      </c>
      <c r="C211" s="14" t="s">
        <v>154</v>
      </c>
      <c r="D211" s="14" t="n">
        <v>45</v>
      </c>
      <c r="E211" s="14" t="n">
        <v>7.56</v>
      </c>
      <c r="F211" s="31" t="n">
        <v>0.0226</v>
      </c>
      <c r="G211" s="31" t="n">
        <v>0.5085</v>
      </c>
      <c r="H211" s="25" t="n">
        <v>905004.66</v>
      </c>
      <c r="I211" s="25" t="n">
        <v>10400.4</v>
      </c>
      <c r="J211" s="32" t="n">
        <f aca="false">F211*G211*H211</f>
        <v>10400.404053186</v>
      </c>
      <c r="K211" s="32" t="n">
        <f aca="false">J211-I211</f>
        <v>0.00405318599950988</v>
      </c>
      <c r="L211" s="28" t="n">
        <f aca="false">IF(B211=1,12,IF(B211=2,MIN(MAX(D211,1),60),6))</f>
        <v>12</v>
      </c>
      <c r="M211" s="11" t="n">
        <f aca="false">IF(B211=3,1,IFERROR(INDEX(PD_TermStructure!$C$2:$C$241,MATCH(C211&amp;"|"&amp;L211,PD_TermStructure!$D$2:$D$241,0)),0))</f>
        <v>0.109872</v>
      </c>
      <c r="N211" s="22" t="n">
        <f aca="false">(1+E211/100)^(-(L211/12)/2)</f>
        <v>0.964216598175096</v>
      </c>
      <c r="O211" s="32" t="n">
        <f aca="false">IF(H211&lt;=0,0,M211*Assumptions!$B$3*H211*N211)</f>
        <v>39761.8863687981</v>
      </c>
      <c r="P211" s="25" t="n">
        <v>39761.89</v>
      </c>
      <c r="Q211" s="32" t="n">
        <f aca="false">O211-P211</f>
        <v>-0.00363120190741029</v>
      </c>
    </row>
    <row r="212" customFormat="false" ht="15" hidden="false" customHeight="false" outlineLevel="0" collapsed="false">
      <c r="A212" s="14" t="s">
        <v>381</v>
      </c>
      <c r="B212" s="14" t="n">
        <v>1</v>
      </c>
      <c r="C212" s="14" t="s">
        <v>154</v>
      </c>
      <c r="D212" s="14" t="n">
        <v>68</v>
      </c>
      <c r="E212" s="14" t="n">
        <v>9.91</v>
      </c>
      <c r="F212" s="31" t="n">
        <v>0.0174</v>
      </c>
      <c r="G212" s="31" t="n">
        <v>0.5748</v>
      </c>
      <c r="H212" s="25" t="n">
        <v>379528.39</v>
      </c>
      <c r="I212" s="25" t="n">
        <v>3795.86</v>
      </c>
      <c r="J212" s="32" t="n">
        <f aca="false">F212*G212*H212</f>
        <v>3795.8607831528</v>
      </c>
      <c r="K212" s="32" t="n">
        <f aca="false">J212-I212</f>
        <v>0.000783152799158415</v>
      </c>
      <c r="L212" s="28" t="n">
        <f aca="false">IF(B212=1,12,IF(B212=2,MIN(MAX(D212,1),60),6))</f>
        <v>12</v>
      </c>
      <c r="M212" s="11" t="n">
        <f aca="false">IF(B212=3,1,IFERROR(INDEX(PD_TermStructure!$C$2:$C$241,MATCH(C212&amp;"|"&amp;L212,PD_TermStructure!$D$2:$D$241,0)),0))</f>
        <v>0.109872</v>
      </c>
      <c r="N212" s="22" t="n">
        <f aca="false">(1+E212/100)^(-(L212/12)/2)</f>
        <v>0.953852881636951</v>
      </c>
      <c r="O212" s="32" t="n">
        <f aca="false">IF(H212&lt;=0,0,M212*Assumptions!$B$3*H212*N212)</f>
        <v>16495.5661373225</v>
      </c>
      <c r="P212" s="25" t="n">
        <v>16495.57</v>
      </c>
      <c r="Q212" s="32" t="n">
        <f aca="false">O212-P212</f>
        <v>-0.00386267748035607</v>
      </c>
    </row>
    <row r="213" customFormat="false" ht="15" hidden="false" customHeight="false" outlineLevel="0" collapsed="false">
      <c r="A213" s="14" t="s">
        <v>382</v>
      </c>
      <c r="B213" s="14" t="n">
        <v>1</v>
      </c>
      <c r="C213" s="14" t="s">
        <v>154</v>
      </c>
      <c r="D213" s="14" t="n">
        <v>48</v>
      </c>
      <c r="E213" s="14" t="n">
        <v>10</v>
      </c>
      <c r="F213" s="31" t="n">
        <v>0.0242</v>
      </c>
      <c r="G213" s="31" t="n">
        <v>0.6121</v>
      </c>
      <c r="H213" s="25" t="n">
        <v>662385.06</v>
      </c>
      <c r="I213" s="25" t="n">
        <v>9811.79</v>
      </c>
      <c r="J213" s="32" t="n">
        <f aca="false">F213*G213*H213</f>
        <v>9811.7906644692</v>
      </c>
      <c r="K213" s="32" t="n">
        <f aca="false">J213-I213</f>
        <v>0.000664469200273743</v>
      </c>
      <c r="L213" s="28" t="n">
        <f aca="false">IF(B213=1,12,IF(B213=2,MIN(MAX(D213,1),60),6))</f>
        <v>12</v>
      </c>
      <c r="M213" s="11" t="n">
        <f aca="false">IF(B213=3,1,IFERROR(INDEX(PD_TermStructure!$C$2:$C$241,MATCH(C213&amp;"|"&amp;L213,PD_TermStructure!$D$2:$D$241,0)),0))</f>
        <v>0.109872</v>
      </c>
      <c r="N213" s="22" t="n">
        <f aca="false">(1+E213/100)^(-(L213/12)/2)</f>
        <v>0.953462589245592</v>
      </c>
      <c r="O213" s="32" t="n">
        <f aca="false">IF(H213&lt;=0,0,M213*Assumptions!$B$3*H213*N213)</f>
        <v>28777.677878714</v>
      </c>
      <c r="P213" s="25" t="n">
        <v>28777.68</v>
      </c>
      <c r="Q213" s="32" t="n">
        <f aca="false">O213-P213</f>
        <v>-0.00212128600105643</v>
      </c>
    </row>
    <row r="214" customFormat="false" ht="15" hidden="false" customHeight="false" outlineLevel="0" collapsed="false">
      <c r="A214" s="14" t="s">
        <v>383</v>
      </c>
      <c r="B214" s="14" t="n">
        <v>1</v>
      </c>
      <c r="C214" s="14" t="s">
        <v>154</v>
      </c>
      <c r="D214" s="14" t="n">
        <v>32</v>
      </c>
      <c r="E214" s="14" t="n">
        <v>13.6</v>
      </c>
      <c r="F214" s="31" t="n">
        <v>0.0181</v>
      </c>
      <c r="G214" s="31" t="n">
        <v>0.5015</v>
      </c>
      <c r="H214" s="25" t="n">
        <v>475928.99</v>
      </c>
      <c r="I214" s="25" t="n">
        <v>4320.08</v>
      </c>
      <c r="J214" s="32" t="n">
        <f aca="false">F214*G214*H214</f>
        <v>4320.0788315785</v>
      </c>
      <c r="K214" s="32" t="n">
        <f aca="false">J214-I214</f>
        <v>-0.00116842150055163</v>
      </c>
      <c r="L214" s="28" t="n">
        <f aca="false">IF(B214=1,12,IF(B214=2,MIN(MAX(D214,1),60),6))</f>
        <v>12</v>
      </c>
      <c r="M214" s="11" t="n">
        <f aca="false">IF(B214=3,1,IFERROR(INDEX(PD_TermStructure!$C$2:$C$241,MATCH(C214&amp;"|"&amp;L214,PD_TermStructure!$D$2:$D$241,0)),0))</f>
        <v>0.109872</v>
      </c>
      <c r="N214" s="22" t="n">
        <f aca="false">(1+E214/100)^(-(L214/12)/2)</f>
        <v>0.938233281301002</v>
      </c>
      <c r="O214" s="32" t="n">
        <f aca="false">IF(H214&lt;=0,0,M214*Assumptions!$B$3*H214*N214)</f>
        <v>20346.7268596748</v>
      </c>
      <c r="P214" s="25" t="n">
        <v>20346.73</v>
      </c>
      <c r="Q214" s="32" t="n">
        <f aca="false">O214-P214</f>
        <v>-0.00314032522510388</v>
      </c>
    </row>
    <row r="215" customFormat="false" ht="15" hidden="false" customHeight="false" outlineLevel="0" collapsed="false">
      <c r="A215" s="14" t="s">
        <v>384</v>
      </c>
      <c r="B215" s="14" t="n">
        <v>1</v>
      </c>
      <c r="C215" s="14" t="s">
        <v>154</v>
      </c>
      <c r="D215" s="14" t="n">
        <v>26</v>
      </c>
      <c r="E215" s="14" t="n">
        <v>10.6</v>
      </c>
      <c r="F215" s="31" t="n">
        <v>0.019</v>
      </c>
      <c r="G215" s="31" t="n">
        <v>0.6157</v>
      </c>
      <c r="H215" s="25" t="n">
        <v>1787225.09</v>
      </c>
      <c r="I215" s="25" t="n">
        <v>20907.5</v>
      </c>
      <c r="J215" s="32" t="n">
        <f aca="false">F215*G215*H215</f>
        <v>20907.495270347</v>
      </c>
      <c r="K215" s="32" t="n">
        <f aca="false">J215-I215</f>
        <v>-0.00472965299923089</v>
      </c>
      <c r="L215" s="28" t="n">
        <f aca="false">IF(B215=1,12,IF(B215=2,MIN(MAX(D215,1),60),6))</f>
        <v>12</v>
      </c>
      <c r="M215" s="11" t="n">
        <f aca="false">IF(B215=3,1,IFERROR(INDEX(PD_TermStructure!$C$2:$C$241,MATCH(C215&amp;"|"&amp;L215,PD_TermStructure!$D$2:$D$241,0)),0))</f>
        <v>0.109872</v>
      </c>
      <c r="N215" s="22" t="n">
        <f aca="false">(1+E215/100)^(-(L215/12)/2)</f>
        <v>0.950872826411205</v>
      </c>
      <c r="O215" s="32" t="n">
        <f aca="false">IF(H215&lt;=0,0,M215*Assumptions!$B$3*H215*N215)</f>
        <v>77436.0604805558</v>
      </c>
      <c r="P215" s="25" t="n">
        <v>77436.06</v>
      </c>
      <c r="Q215" s="32" t="n">
        <f aca="false">O215-P215</f>
        <v>0.000480555827380158</v>
      </c>
    </row>
    <row r="216" customFormat="false" ht="15" hidden="false" customHeight="false" outlineLevel="0" collapsed="false">
      <c r="A216" s="14" t="s">
        <v>385</v>
      </c>
      <c r="B216" s="14" t="n">
        <v>1</v>
      </c>
      <c r="C216" s="14" t="s">
        <v>154</v>
      </c>
      <c r="D216" s="14" t="n">
        <v>57</v>
      </c>
      <c r="E216" s="14" t="n">
        <v>13.02</v>
      </c>
      <c r="F216" s="31" t="n">
        <v>0.0203</v>
      </c>
      <c r="G216" s="31" t="n">
        <v>0.5771</v>
      </c>
      <c r="H216" s="25" t="n">
        <v>1577393.84</v>
      </c>
      <c r="I216" s="25" t="n">
        <v>18479.37</v>
      </c>
      <c r="J216" s="32" t="n">
        <f aca="false">F216*G216*H216</f>
        <v>18479.3738967992</v>
      </c>
      <c r="K216" s="32" t="n">
        <f aca="false">J216-I216</f>
        <v>0.00389679920044728</v>
      </c>
      <c r="L216" s="28" t="n">
        <f aca="false">IF(B216=1,12,IF(B216=2,MIN(MAX(D216,1),60),6))</f>
        <v>12</v>
      </c>
      <c r="M216" s="11" t="n">
        <f aca="false">IF(B216=3,1,IFERROR(INDEX(PD_TermStructure!$C$2:$C$241,MATCH(C216&amp;"|"&amp;L216,PD_TermStructure!$D$2:$D$241,0)),0))</f>
        <v>0.109872</v>
      </c>
      <c r="N216" s="22" t="n">
        <f aca="false">(1+E216/100)^(-(L216/12)/2)</f>
        <v>0.940637629798434</v>
      </c>
      <c r="O216" s="32" t="n">
        <f aca="false">IF(H216&lt;=0,0,M216*Assumptions!$B$3*H216*N216)</f>
        <v>67608.9280506655</v>
      </c>
      <c r="P216" s="25" t="n">
        <v>67608.93</v>
      </c>
      <c r="Q216" s="32" t="n">
        <f aca="false">O216-P216</f>
        <v>-0.00194933453167323</v>
      </c>
    </row>
    <row r="217" customFormat="false" ht="15" hidden="false" customHeight="false" outlineLevel="0" collapsed="false">
      <c r="A217" s="14" t="s">
        <v>386</v>
      </c>
      <c r="B217" s="14" t="n">
        <v>1</v>
      </c>
      <c r="C217" s="14" t="s">
        <v>154</v>
      </c>
      <c r="D217" s="14" t="n">
        <v>61</v>
      </c>
      <c r="E217" s="14" t="n">
        <v>9.59</v>
      </c>
      <c r="F217" s="31" t="n">
        <v>0.0153</v>
      </c>
      <c r="G217" s="31" t="n">
        <v>0.5049</v>
      </c>
      <c r="H217" s="25" t="n">
        <v>806039.19</v>
      </c>
      <c r="I217" s="25" t="n">
        <v>6226.63</v>
      </c>
      <c r="J217" s="32" t="n">
        <f aca="false">F217*G217*H217</f>
        <v>6226.6285615743</v>
      </c>
      <c r="K217" s="32" t="n">
        <f aca="false">J217-I217</f>
        <v>-0.00143842570014385</v>
      </c>
      <c r="L217" s="28" t="n">
        <f aca="false">IF(B217=1,12,IF(B217=2,MIN(MAX(D217,1),60),6))</f>
        <v>12</v>
      </c>
      <c r="M217" s="11" t="n">
        <f aca="false">IF(B217=3,1,IFERROR(INDEX(PD_TermStructure!$C$2:$C$241,MATCH(C217&amp;"|"&amp;L217,PD_TermStructure!$D$2:$D$241,0)),0))</f>
        <v>0.109872</v>
      </c>
      <c r="N217" s="22" t="n">
        <f aca="false">(1+E217/100)^(-(L217/12)/2)</f>
        <v>0.955244479541684</v>
      </c>
      <c r="O217" s="32" t="n">
        <f aca="false">IF(H217&lt;=0,0,M217*Assumptions!$B$3*H217*N217)</f>
        <v>35084.2547358557</v>
      </c>
      <c r="P217" s="25" t="n">
        <v>35084.25</v>
      </c>
      <c r="Q217" s="32" t="n">
        <f aca="false">O217-P217</f>
        <v>0.0047358556985273</v>
      </c>
    </row>
    <row r="218" customFormat="false" ht="15" hidden="false" customHeight="false" outlineLevel="0" collapsed="false">
      <c r="A218" s="14" t="s">
        <v>387</v>
      </c>
      <c r="B218" s="14" t="n">
        <v>1</v>
      </c>
      <c r="C218" s="14" t="s">
        <v>154</v>
      </c>
      <c r="D218" s="14" t="n">
        <v>31</v>
      </c>
      <c r="E218" s="14" t="n">
        <v>11.62</v>
      </c>
      <c r="F218" s="31" t="n">
        <v>0.0197</v>
      </c>
      <c r="G218" s="31" t="n">
        <v>0.5739</v>
      </c>
      <c r="H218" s="25" t="n">
        <v>373035.83</v>
      </c>
      <c r="I218" s="25" t="n">
        <v>4217.48</v>
      </c>
      <c r="J218" s="32" t="n">
        <f aca="false">F218*G218*H218</f>
        <v>4217.4796778889</v>
      </c>
      <c r="K218" s="32" t="n">
        <f aca="false">J218-I218</f>
        <v>-0.000322111099194444</v>
      </c>
      <c r="L218" s="28" t="n">
        <f aca="false">IF(B218=1,12,IF(B218=2,MIN(MAX(D218,1),60),6))</f>
        <v>12</v>
      </c>
      <c r="M218" s="11" t="n">
        <f aca="false">IF(B218=3,1,IFERROR(INDEX(PD_TermStructure!$C$2:$C$241,MATCH(C218&amp;"|"&amp;L218,PD_TermStructure!$D$2:$D$241,0)),0))</f>
        <v>0.109872</v>
      </c>
      <c r="N218" s="22" t="n">
        <f aca="false">(1+E218/100)^(-(L218/12)/2)</f>
        <v>0.946518247414957</v>
      </c>
      <c r="O218" s="32" t="n">
        <f aca="false">IF(H218&lt;=0,0,M218*Assumptions!$B$3*H218*N218)</f>
        <v>16088.7054139312</v>
      </c>
      <c r="P218" s="25" t="n">
        <v>16088.71</v>
      </c>
      <c r="Q218" s="32" t="n">
        <f aca="false">O218-P218</f>
        <v>-0.00458606881693413</v>
      </c>
    </row>
    <row r="219" customFormat="false" ht="15" hidden="false" customHeight="false" outlineLevel="0" collapsed="false">
      <c r="A219" s="14" t="s">
        <v>388</v>
      </c>
      <c r="B219" s="14" t="n">
        <v>1</v>
      </c>
      <c r="C219" s="14" t="s">
        <v>154</v>
      </c>
      <c r="D219" s="14" t="n">
        <v>15</v>
      </c>
      <c r="E219" s="14" t="n">
        <v>13.04</v>
      </c>
      <c r="F219" s="31" t="n">
        <v>0.0248</v>
      </c>
      <c r="G219" s="31" t="n">
        <v>0.5844</v>
      </c>
      <c r="H219" s="25" t="n">
        <v>147377</v>
      </c>
      <c r="I219" s="25" t="n">
        <v>2135.95</v>
      </c>
      <c r="J219" s="32" t="n">
        <f aca="false">F219*G219*H219</f>
        <v>2135.95254624</v>
      </c>
      <c r="K219" s="32" t="n">
        <f aca="false">J219-I219</f>
        <v>0.00254624000035619</v>
      </c>
      <c r="L219" s="28" t="n">
        <f aca="false">IF(B219=1,12,IF(B219=2,MIN(MAX(D219,1),60),6))</f>
        <v>12</v>
      </c>
      <c r="M219" s="11" t="n">
        <f aca="false">IF(B219=3,1,IFERROR(INDEX(PD_TermStructure!$C$2:$C$241,MATCH(C219&amp;"|"&amp;L219,PD_TermStructure!$D$2:$D$241,0)),0))</f>
        <v>0.109872</v>
      </c>
      <c r="N219" s="22" t="n">
        <f aca="false">(1+E219/100)^(-(L219/12)/2)</f>
        <v>0.940554413305167</v>
      </c>
      <c r="O219" s="32" t="n">
        <f aca="false">IF(H219&lt;=0,0,M219*Assumptions!$B$3*H219*N219)</f>
        <v>6316.19018643573</v>
      </c>
      <c r="P219" s="25" t="n">
        <v>6316.19</v>
      </c>
      <c r="Q219" s="32" t="n">
        <f aca="false">O219-P219</f>
        <v>0.000186435732757673</v>
      </c>
    </row>
    <row r="220" customFormat="false" ht="15" hidden="false" customHeight="false" outlineLevel="0" collapsed="false">
      <c r="A220" s="14" t="s">
        <v>389</v>
      </c>
      <c r="B220" s="14" t="n">
        <v>1</v>
      </c>
      <c r="C220" s="14" t="s">
        <v>154</v>
      </c>
      <c r="D220" s="14" t="n">
        <v>83</v>
      </c>
      <c r="E220" s="14" t="n">
        <v>10.37</v>
      </c>
      <c r="F220" s="31" t="n">
        <v>0.0163</v>
      </c>
      <c r="G220" s="31" t="n">
        <v>0.5356</v>
      </c>
      <c r="H220" s="25" t="n">
        <v>809963.32</v>
      </c>
      <c r="I220" s="25" t="n">
        <v>7071.21</v>
      </c>
      <c r="J220" s="32" t="n">
        <f aca="false">F220*G220*H220</f>
        <v>7071.2065733296</v>
      </c>
      <c r="K220" s="32" t="n">
        <f aca="false">J220-I220</f>
        <v>-0.00342667040149536</v>
      </c>
      <c r="L220" s="28" t="n">
        <f aca="false">IF(B220=1,12,IF(B220=2,MIN(MAX(D220,1),60),6))</f>
        <v>12</v>
      </c>
      <c r="M220" s="11" t="n">
        <f aca="false">IF(B220=3,1,IFERROR(INDEX(PD_TermStructure!$C$2:$C$241,MATCH(C220&amp;"|"&amp;L220,PD_TermStructure!$D$2:$D$241,0)),0))</f>
        <v>0.109872</v>
      </c>
      <c r="N220" s="22" t="n">
        <f aca="false">(1+E220/100)^(-(L220/12)/2)</f>
        <v>0.951863072542561</v>
      </c>
      <c r="O220" s="32" t="n">
        <f aca="false">IF(H220&lt;=0,0,M220*Assumptions!$B$3*H220*N220)</f>
        <v>35130.2622432312</v>
      </c>
      <c r="P220" s="25" t="n">
        <v>35130.26</v>
      </c>
      <c r="Q220" s="32" t="n">
        <f aca="false">O220-P220</f>
        <v>0.0022432311961893</v>
      </c>
    </row>
    <row r="221" customFormat="false" ht="15" hidden="false" customHeight="false" outlineLevel="0" collapsed="false">
      <c r="A221" s="14" t="s">
        <v>390</v>
      </c>
      <c r="B221" s="14" t="n">
        <v>1</v>
      </c>
      <c r="C221" s="14" t="s">
        <v>154</v>
      </c>
      <c r="D221" s="14" t="n">
        <v>47</v>
      </c>
      <c r="E221" s="14" t="n">
        <v>10.61</v>
      </c>
      <c r="F221" s="31" t="n">
        <v>0.0174</v>
      </c>
      <c r="G221" s="31" t="n">
        <v>0.4048</v>
      </c>
      <c r="H221" s="25" t="n">
        <v>1189686.7</v>
      </c>
      <c r="I221" s="25" t="n">
        <v>8379.58</v>
      </c>
      <c r="J221" s="32" t="n">
        <f aca="false">F221*G221*H221</f>
        <v>8379.582065184</v>
      </c>
      <c r="K221" s="32" t="n">
        <f aca="false">J221-I221</f>
        <v>0.00206518399863853</v>
      </c>
      <c r="L221" s="28" t="n">
        <f aca="false">IF(B221=1,12,IF(B221=2,MIN(MAX(D221,1),60),6))</f>
        <v>12</v>
      </c>
      <c r="M221" s="11" t="n">
        <f aca="false">IF(B221=3,1,IFERROR(INDEX(PD_TermStructure!$C$2:$C$241,MATCH(C221&amp;"|"&amp;L221,PD_TermStructure!$D$2:$D$241,0)),0))</f>
        <v>0.109872</v>
      </c>
      <c r="N221" s="22" t="n">
        <f aca="false">(1+E221/100)^(-(L221/12)/2)</f>
        <v>0.950829842308549</v>
      </c>
      <c r="O221" s="32" t="n">
        <f aca="false">IF(H221&lt;=0,0,M221*Assumptions!$B$3*H221*N221)</f>
        <v>51543.8638841383</v>
      </c>
      <c r="P221" s="25" t="n">
        <v>51543.86</v>
      </c>
      <c r="Q221" s="32" t="n">
        <f aca="false">O221-P221</f>
        <v>0.00388413828477496</v>
      </c>
    </row>
    <row r="222" customFormat="false" ht="15" hidden="false" customHeight="false" outlineLevel="0" collapsed="false">
      <c r="A222" s="14" t="s">
        <v>391</v>
      </c>
      <c r="B222" s="14" t="n">
        <v>3</v>
      </c>
      <c r="C222" s="14" t="s">
        <v>189</v>
      </c>
      <c r="D222" s="14" t="n">
        <v>48</v>
      </c>
      <c r="E222" s="14" t="n">
        <v>13.75</v>
      </c>
      <c r="F222" s="31" t="n">
        <v>0.8776</v>
      </c>
      <c r="G222" s="31" t="n">
        <v>0.5259</v>
      </c>
      <c r="H222" s="25" t="n">
        <v>829862.52</v>
      </c>
      <c r="I222" s="25" t="n">
        <v>383006.32</v>
      </c>
      <c r="J222" s="32" t="n">
        <f aca="false">F222*G222*H222</f>
        <v>383006.316077597</v>
      </c>
      <c r="K222" s="32" t="n">
        <f aca="false">J222-I222</f>
        <v>-0.00392240314977244</v>
      </c>
      <c r="L222" s="28" t="n">
        <f aca="false">IF(B222=1,12,IF(B222=2,MIN(MAX(D222,1),60),6))</f>
        <v>6</v>
      </c>
      <c r="M222" s="11" t="n">
        <f aca="false">IF(B222=3,1,IFERROR(INDEX(PD_TermStructure!$C$2:$C$241,MATCH(C222&amp;"|"&amp;L222,PD_TermStructure!$D$2:$D$241,0)),0))</f>
        <v>1</v>
      </c>
      <c r="N222" s="22" t="n">
        <f aca="false">(1+E222/100)^(-(L222/12)/2)</f>
        <v>0.96830494260692</v>
      </c>
      <c r="O222" s="32" t="n">
        <f aca="false">IF(H222&lt;=0,0,M222*Assumptions!$B$3*H222*N222)</f>
        <v>333252.050492108</v>
      </c>
      <c r="P222" s="25" t="n">
        <v>333252.05</v>
      </c>
      <c r="Q222" s="32" t="n">
        <f aca="false">O222-P222</f>
        <v>0.0004921083454974</v>
      </c>
    </row>
    <row r="223" customFormat="false" ht="15" hidden="false" customHeight="false" outlineLevel="0" collapsed="false">
      <c r="A223" s="14" t="s">
        <v>392</v>
      </c>
      <c r="B223" s="14" t="n">
        <v>1</v>
      </c>
      <c r="C223" s="14" t="s">
        <v>154</v>
      </c>
      <c r="D223" s="14" t="n">
        <v>45</v>
      </c>
      <c r="E223" s="14" t="n">
        <v>11.26</v>
      </c>
      <c r="F223" s="31" t="n">
        <v>0.0145</v>
      </c>
      <c r="G223" s="31" t="n">
        <v>0.5718</v>
      </c>
      <c r="H223" s="25" t="n">
        <v>985520.92</v>
      </c>
      <c r="I223" s="25" t="n">
        <v>8171.05</v>
      </c>
      <c r="J223" s="32" t="n">
        <f aca="false">F223*G223*H223</f>
        <v>8171.052499812</v>
      </c>
      <c r="K223" s="32" t="n">
        <f aca="false">J223-I223</f>
        <v>0.0024998120006785</v>
      </c>
      <c r="L223" s="28" t="n">
        <f aca="false">IF(B223=1,12,IF(B223=2,MIN(MAX(D223,1),60),6))</f>
        <v>12</v>
      </c>
      <c r="M223" s="11" t="n">
        <f aca="false">IF(B223=3,1,IFERROR(INDEX(PD_TermStructure!$C$2:$C$241,MATCH(C223&amp;"|"&amp;L223,PD_TermStructure!$D$2:$D$241,0)),0))</f>
        <v>0.109872</v>
      </c>
      <c r="N223" s="22" t="n">
        <f aca="false">(1+E223/100)^(-(L223/12)/2)</f>
        <v>0.948048318324232</v>
      </c>
      <c r="O223" s="32" t="n">
        <f aca="false">IF(H223&lt;=0,0,M223*Assumptions!$B$3*H223*N223)</f>
        <v>42573.3554739059</v>
      </c>
      <c r="P223" s="25" t="n">
        <v>42573.36</v>
      </c>
      <c r="Q223" s="32" t="n">
        <f aca="false">O223-P223</f>
        <v>-0.00452609406784177</v>
      </c>
    </row>
    <row r="224" customFormat="false" ht="15" hidden="false" customHeight="false" outlineLevel="0" collapsed="false">
      <c r="A224" s="14" t="s">
        <v>393</v>
      </c>
      <c r="B224" s="14" t="n">
        <v>1</v>
      </c>
      <c r="C224" s="14" t="s">
        <v>154</v>
      </c>
      <c r="D224" s="14" t="n">
        <v>44</v>
      </c>
      <c r="E224" s="14" t="n">
        <v>14.36</v>
      </c>
      <c r="F224" s="31" t="n">
        <v>0.0231</v>
      </c>
      <c r="G224" s="31" t="n">
        <v>0.5114</v>
      </c>
      <c r="H224" s="25" t="n">
        <v>2275235.13</v>
      </c>
      <c r="I224" s="25" t="n">
        <v>26878.13</v>
      </c>
      <c r="J224" s="32" t="n">
        <f aca="false">F224*G224*H224</f>
        <v>26878.1261706342</v>
      </c>
      <c r="K224" s="32" t="n">
        <f aca="false">J224-I224</f>
        <v>-0.00382936580717796</v>
      </c>
      <c r="L224" s="28" t="n">
        <f aca="false">IF(B224=1,12,IF(B224=2,MIN(MAX(D224,1),60),6))</f>
        <v>12</v>
      </c>
      <c r="M224" s="11" t="n">
        <f aca="false">IF(B224=3,1,IFERROR(INDEX(PD_TermStructure!$C$2:$C$241,MATCH(C224&amp;"|"&amp;L224,PD_TermStructure!$D$2:$D$241,0)),0))</f>
        <v>0.109872</v>
      </c>
      <c r="N224" s="22" t="n">
        <f aca="false">(1+E224/100)^(-(L224/12)/2)</f>
        <v>0.935110485155289</v>
      </c>
      <c r="O224" s="32" t="n">
        <f aca="false">IF(H224&lt;=0,0,M224*Assumptions!$B$3*H224*N224)</f>
        <v>96946.1959372931</v>
      </c>
      <c r="P224" s="25" t="n">
        <v>96946.2</v>
      </c>
      <c r="Q224" s="32" t="n">
        <f aca="false">O224-P224</f>
        <v>-0.00406270691019017</v>
      </c>
    </row>
    <row r="225" customFormat="false" ht="15" hidden="false" customHeight="false" outlineLevel="0" collapsed="false">
      <c r="A225" s="14" t="s">
        <v>394</v>
      </c>
      <c r="B225" s="14" t="n">
        <v>1</v>
      </c>
      <c r="C225" s="14" t="s">
        <v>155</v>
      </c>
      <c r="D225" s="14" t="n">
        <v>14</v>
      </c>
      <c r="E225" s="14" t="n">
        <v>8.37</v>
      </c>
      <c r="F225" s="31" t="n">
        <v>0.0141</v>
      </c>
      <c r="G225" s="31" t="n">
        <v>0.6453</v>
      </c>
      <c r="H225" s="25" t="n">
        <v>601823.91</v>
      </c>
      <c r="I225" s="25" t="n">
        <v>5475.83</v>
      </c>
      <c r="J225" s="32" t="n">
        <f aca="false">F225*G225*H225</f>
        <v>5475.8332646343</v>
      </c>
      <c r="K225" s="32" t="n">
        <f aca="false">J225-I225</f>
        <v>0.00326463429973956</v>
      </c>
      <c r="L225" s="28" t="n">
        <f aca="false">IF(B225=1,12,IF(B225=2,MIN(MAX(D225,1),60),6))</f>
        <v>12</v>
      </c>
      <c r="M225" s="11" t="n">
        <f aca="false">IF(B225=3,1,IFERROR(INDEX(PD_TermStructure!$C$2:$C$241,MATCH(C225&amp;"|"&amp;L225,PD_TermStructure!$D$2:$D$241,0)),0))</f>
        <v>0.164153</v>
      </c>
      <c r="N225" s="22" t="n">
        <f aca="false">(1+E225/100)^(-(L225/12)/2)</f>
        <v>0.96060637242829</v>
      </c>
      <c r="O225" s="32" t="n">
        <f aca="false">IF(H225&lt;=0,0,M225*Assumptions!$B$3*H225*N225)</f>
        <v>39356.6619538591</v>
      </c>
      <c r="P225" s="25" t="n">
        <v>39356.66</v>
      </c>
      <c r="Q225" s="32" t="n">
        <f aca="false">O225-P225</f>
        <v>0.00195385907863965</v>
      </c>
    </row>
    <row r="226" customFormat="false" ht="15" hidden="false" customHeight="false" outlineLevel="0" collapsed="false">
      <c r="A226" s="14" t="s">
        <v>395</v>
      </c>
      <c r="B226" s="14" t="n">
        <v>1</v>
      </c>
      <c r="C226" s="14" t="s">
        <v>154</v>
      </c>
      <c r="D226" s="14" t="n">
        <v>41</v>
      </c>
      <c r="E226" s="14" t="n">
        <v>13.43</v>
      </c>
      <c r="F226" s="31" t="n">
        <v>0.0146</v>
      </c>
      <c r="G226" s="31" t="n">
        <v>0.6255</v>
      </c>
      <c r="H226" s="25" t="n">
        <v>254393.18</v>
      </c>
      <c r="I226" s="25" t="n">
        <v>2323.19</v>
      </c>
      <c r="J226" s="32" t="n">
        <f aca="false">F226*G226*H226</f>
        <v>2323.194837714</v>
      </c>
      <c r="K226" s="32" t="n">
        <f aca="false">J226-I226</f>
        <v>0.00483771399967736</v>
      </c>
      <c r="L226" s="28" t="n">
        <f aca="false">IF(B226=1,12,IF(B226=2,MIN(MAX(D226,1),60),6))</f>
        <v>12</v>
      </c>
      <c r="M226" s="11" t="n">
        <f aca="false">IF(B226=3,1,IFERROR(INDEX(PD_TermStructure!$C$2:$C$241,MATCH(C226&amp;"|"&amp;L226,PD_TermStructure!$D$2:$D$241,0)),0))</f>
        <v>0.109872</v>
      </c>
      <c r="N226" s="22" t="n">
        <f aca="false">(1+E226/100)^(-(L226/12)/2)</f>
        <v>0.9389360933488</v>
      </c>
      <c r="O226" s="32" t="n">
        <f aca="false">IF(H226&lt;=0,0,M226*Assumptions!$B$3*H226*N226)</f>
        <v>10883.8628201544</v>
      </c>
      <c r="P226" s="25" t="n">
        <v>10883.86</v>
      </c>
      <c r="Q226" s="32" t="n">
        <f aca="false">O226-P226</f>
        <v>0.00282015444281569</v>
      </c>
    </row>
    <row r="227" customFormat="false" ht="15" hidden="false" customHeight="false" outlineLevel="0" collapsed="false">
      <c r="A227" s="14" t="s">
        <v>396</v>
      </c>
      <c r="B227" s="14" t="n">
        <v>1</v>
      </c>
      <c r="C227" s="14" t="s">
        <v>155</v>
      </c>
      <c r="D227" s="14" t="n">
        <v>6</v>
      </c>
      <c r="E227" s="14" t="n">
        <v>7.7</v>
      </c>
      <c r="F227" s="31" t="n">
        <v>0.0209</v>
      </c>
      <c r="G227" s="31" t="n">
        <v>0.3757</v>
      </c>
      <c r="H227" s="25" t="n">
        <v>94884.93</v>
      </c>
      <c r="I227" s="25" t="n">
        <v>745.05</v>
      </c>
      <c r="J227" s="32" t="n">
        <f aca="false">F227*G227*H227</f>
        <v>745.0488054009</v>
      </c>
      <c r="K227" s="32" t="n">
        <f aca="false">J227-I227</f>
        <v>-0.0011945991001312</v>
      </c>
      <c r="L227" s="28" t="n">
        <f aca="false">IF(B227=1,12,IF(B227=2,MIN(MAX(D227,1),60),6))</f>
        <v>12</v>
      </c>
      <c r="M227" s="11" t="n">
        <f aca="false">IF(B227=3,1,IFERROR(INDEX(PD_TermStructure!$C$2:$C$241,MATCH(C227&amp;"|"&amp;L227,PD_TermStructure!$D$2:$D$241,0)),0))</f>
        <v>0.164153</v>
      </c>
      <c r="N227" s="22" t="n">
        <f aca="false">(1+E227/100)^(-(L227/12)/2)</f>
        <v>0.963589698356145</v>
      </c>
      <c r="O227" s="32" t="n">
        <f aca="false">IF(H227&lt;=0,0,M227*Assumptions!$B$3*H227*N227)</f>
        <v>6224.33193832647</v>
      </c>
      <c r="P227" s="25" t="n">
        <v>6224.33</v>
      </c>
      <c r="Q227" s="32" t="n">
        <f aca="false">O227-P227</f>
        <v>0.00193832647255476</v>
      </c>
    </row>
    <row r="228" customFormat="false" ht="15" hidden="false" customHeight="false" outlineLevel="0" collapsed="false">
      <c r="A228" s="14" t="s">
        <v>397</v>
      </c>
      <c r="B228" s="14" t="n">
        <v>1</v>
      </c>
      <c r="C228" s="14" t="s">
        <v>154</v>
      </c>
      <c r="D228" s="14" t="n">
        <v>68</v>
      </c>
      <c r="E228" s="14" t="n">
        <v>7.87</v>
      </c>
      <c r="F228" s="31" t="n">
        <v>0.0194</v>
      </c>
      <c r="G228" s="31" t="n">
        <v>0.4485</v>
      </c>
      <c r="H228" s="25" t="n">
        <v>687529.7</v>
      </c>
      <c r="I228" s="25" t="n">
        <v>5982.13</v>
      </c>
      <c r="J228" s="32" t="n">
        <f aca="false">F228*G228*H228</f>
        <v>5982.12716673</v>
      </c>
      <c r="K228" s="32" t="n">
        <f aca="false">J228-I228</f>
        <v>-0.00283326999942801</v>
      </c>
      <c r="L228" s="28" t="n">
        <f aca="false">IF(B228=1,12,IF(B228=2,MIN(MAX(D228,1),60),6))</f>
        <v>12</v>
      </c>
      <c r="M228" s="11" t="n">
        <f aca="false">IF(B228=3,1,IFERROR(INDEX(PD_TermStructure!$C$2:$C$241,MATCH(C228&amp;"|"&amp;L228,PD_TermStructure!$D$2:$D$241,0)),0))</f>
        <v>0.109872</v>
      </c>
      <c r="N228" s="22" t="n">
        <f aca="false">(1+E228/100)^(-(L228/12)/2)</f>
        <v>0.962830104216529</v>
      </c>
      <c r="O228" s="32" t="n">
        <f aca="false">IF(H228&lt;=0,0,M228*Assumptions!$B$3*H228*N228)</f>
        <v>30163.5661380847</v>
      </c>
      <c r="P228" s="25" t="n">
        <v>30163.57</v>
      </c>
      <c r="Q228" s="32" t="n">
        <f aca="false">O228-P228</f>
        <v>-0.00386191529469215</v>
      </c>
    </row>
    <row r="229" customFormat="false" ht="15" hidden="false" customHeight="false" outlineLevel="0" collapsed="false">
      <c r="A229" s="14" t="s">
        <v>398</v>
      </c>
      <c r="B229" s="14" t="n">
        <v>2</v>
      </c>
      <c r="C229" s="14" t="s">
        <v>156</v>
      </c>
      <c r="D229" s="14" t="n">
        <v>11</v>
      </c>
      <c r="E229" s="14" t="n">
        <v>8.46</v>
      </c>
      <c r="F229" s="31" t="n">
        <v>0.0881</v>
      </c>
      <c r="G229" s="31" t="n">
        <v>0.5021</v>
      </c>
      <c r="H229" s="25" t="n">
        <v>450738.25</v>
      </c>
      <c r="I229" s="25" t="n">
        <v>19938.41</v>
      </c>
      <c r="J229" s="32" t="n">
        <f aca="false">F229*G229*H229</f>
        <v>19938.4109961325</v>
      </c>
      <c r="K229" s="32" t="n">
        <f aca="false">J229-I229</f>
        <v>0.000996132497675717</v>
      </c>
      <c r="L229" s="28" t="n">
        <f aca="false">IF(B229=1,12,IF(B229=2,MIN(MAX(D229,1),60),6))</f>
        <v>11</v>
      </c>
      <c r="M229" s="11" t="n">
        <f aca="false">IF(B229=3,1,IFERROR(INDEX(PD_TermStructure!$C$2:$C$241,MATCH(C229&amp;"|"&amp;L229,PD_TermStructure!$D$2:$D$241,0)),0))</f>
        <v>0.98065</v>
      </c>
      <c r="N229" s="22" t="n">
        <f aca="false">(1+E229/100)^(-(L229/12)/2)</f>
        <v>0.963462391209742</v>
      </c>
      <c r="O229" s="32" t="n">
        <f aca="false">IF(H229&lt;=0,0,M229*Assumptions!$B$3*H229*N229)</f>
        <v>176615.064645368</v>
      </c>
      <c r="P229" s="25" t="n">
        <v>176615.06</v>
      </c>
      <c r="Q229" s="32" t="n">
        <f aca="false">O229-P229</f>
        <v>0.00464536840445362</v>
      </c>
    </row>
    <row r="230" customFormat="false" ht="15" hidden="false" customHeight="false" outlineLevel="0" collapsed="false">
      <c r="A230" s="14" t="s">
        <v>399</v>
      </c>
      <c r="B230" s="14" t="n">
        <v>1</v>
      </c>
      <c r="C230" s="14" t="s">
        <v>154</v>
      </c>
      <c r="D230" s="14" t="n">
        <v>62</v>
      </c>
      <c r="E230" s="14" t="n">
        <v>11.46</v>
      </c>
      <c r="F230" s="31" t="n">
        <v>0.0165</v>
      </c>
      <c r="G230" s="31" t="n">
        <v>0.4053</v>
      </c>
      <c r="H230" s="25" t="n">
        <v>1274891.46</v>
      </c>
      <c r="I230" s="25" t="n">
        <v>8525.77</v>
      </c>
      <c r="J230" s="32" t="n">
        <f aca="false">F230*G230*H230</f>
        <v>8525.772894177</v>
      </c>
      <c r="K230" s="32" t="n">
        <f aca="false">J230-I230</f>
        <v>0.00289417699968908</v>
      </c>
      <c r="L230" s="28" t="n">
        <f aca="false">IF(B230=1,12,IF(B230=2,MIN(MAX(D230,1),60),6))</f>
        <v>12</v>
      </c>
      <c r="M230" s="11" t="n">
        <f aca="false">IF(B230=3,1,IFERROR(INDEX(PD_TermStructure!$C$2:$C$241,MATCH(C230&amp;"|"&amp;L230,PD_TermStructure!$D$2:$D$241,0)),0))</f>
        <v>0.109872</v>
      </c>
      <c r="N230" s="22" t="n">
        <f aca="false">(1+E230/100)^(-(L230/12)/2)</f>
        <v>0.947197363733656</v>
      </c>
      <c r="O230" s="32" t="n">
        <f aca="false">IF(H230&lt;=0,0,M230*Assumptions!$B$3*H230*N230)</f>
        <v>55024.3921676268</v>
      </c>
      <c r="P230" s="25" t="n">
        <v>55024.39</v>
      </c>
      <c r="Q230" s="32" t="n">
        <f aca="false">O230-P230</f>
        <v>0.00216762683703564</v>
      </c>
    </row>
    <row r="231" customFormat="false" ht="15" hidden="false" customHeight="false" outlineLevel="0" collapsed="false">
      <c r="A231" s="14" t="s">
        <v>400</v>
      </c>
      <c r="B231" s="14" t="n">
        <v>1</v>
      </c>
      <c r="C231" s="14" t="s">
        <v>154</v>
      </c>
      <c r="D231" s="14" t="n">
        <v>28</v>
      </c>
      <c r="E231" s="14" t="n">
        <v>13.43</v>
      </c>
      <c r="F231" s="31" t="n">
        <v>0.0253</v>
      </c>
      <c r="G231" s="31" t="n">
        <v>0.6431</v>
      </c>
      <c r="H231" s="25" t="n">
        <v>202155.93</v>
      </c>
      <c r="I231" s="25" t="n">
        <v>3289.16</v>
      </c>
      <c r="J231" s="32" t="n">
        <f aca="false">F231*G231*H231</f>
        <v>3289.1639081499</v>
      </c>
      <c r="K231" s="32" t="n">
        <f aca="false">J231-I231</f>
        <v>0.00390814989987121</v>
      </c>
      <c r="L231" s="28" t="n">
        <f aca="false">IF(B231=1,12,IF(B231=2,MIN(MAX(D231,1),60),6))</f>
        <v>12</v>
      </c>
      <c r="M231" s="11" t="n">
        <f aca="false">IF(B231=3,1,IFERROR(INDEX(PD_TermStructure!$C$2:$C$241,MATCH(C231&amp;"|"&amp;L231,PD_TermStructure!$D$2:$D$241,0)),0))</f>
        <v>0.109872</v>
      </c>
      <c r="N231" s="22" t="n">
        <f aca="false">(1+E231/100)^(-(L231/12)/2)</f>
        <v>0.9389360933488</v>
      </c>
      <c r="O231" s="32" t="n">
        <f aca="false">IF(H231&lt;=0,0,M231*Assumptions!$B$3*H231*N231)</f>
        <v>8648.96382206765</v>
      </c>
      <c r="P231" s="25" t="n">
        <v>8648.96</v>
      </c>
      <c r="Q231" s="32" t="n">
        <f aca="false">O231-P231</f>
        <v>0.00382206765425508</v>
      </c>
    </row>
    <row r="232" customFormat="false" ht="15" hidden="false" customHeight="false" outlineLevel="0" collapsed="false">
      <c r="A232" s="14" t="s">
        <v>401</v>
      </c>
      <c r="B232" s="14" t="n">
        <v>1</v>
      </c>
      <c r="C232" s="14" t="s">
        <v>155</v>
      </c>
      <c r="D232" s="14" t="n">
        <v>11</v>
      </c>
      <c r="E232" s="14" t="n">
        <v>13.95</v>
      </c>
      <c r="F232" s="31" t="n">
        <v>0.016</v>
      </c>
      <c r="G232" s="31" t="n">
        <v>0.4664</v>
      </c>
      <c r="H232" s="25" t="n">
        <v>301990.69</v>
      </c>
      <c r="I232" s="25" t="n">
        <v>2253.58</v>
      </c>
      <c r="J232" s="32" t="n">
        <f aca="false">F232*G232*H232</f>
        <v>2253.575325056</v>
      </c>
      <c r="K232" s="32" t="n">
        <f aca="false">J232-I232</f>
        <v>-0.00467494399981661</v>
      </c>
      <c r="L232" s="28" t="n">
        <f aca="false">IF(B232=1,12,IF(B232=2,MIN(MAX(D232,1),60),6))</f>
        <v>12</v>
      </c>
      <c r="M232" s="11" t="n">
        <f aca="false">IF(B232=3,1,IFERROR(INDEX(PD_TermStructure!$C$2:$C$241,MATCH(C232&amp;"|"&amp;L232,PD_TermStructure!$D$2:$D$241,0)),0))</f>
        <v>0.164153</v>
      </c>
      <c r="N232" s="22" t="n">
        <f aca="false">(1+E232/100)^(-(L232/12)/2)</f>
        <v>0.936791270794779</v>
      </c>
      <c r="O232" s="32" t="n">
        <f aca="false">IF(H232&lt;=0,0,M232*Assumptions!$B$3*H232*N232)</f>
        <v>19259.2665956151</v>
      </c>
      <c r="P232" s="25" t="n">
        <v>19259.27</v>
      </c>
      <c r="Q232" s="32" t="n">
        <f aca="false">O232-P232</f>
        <v>-0.00340438491548412</v>
      </c>
    </row>
    <row r="233" customFormat="false" ht="15" hidden="false" customHeight="false" outlineLevel="0" collapsed="false">
      <c r="A233" s="14" t="s">
        <v>402</v>
      </c>
      <c r="B233" s="14" t="n">
        <v>2</v>
      </c>
      <c r="C233" s="14" t="s">
        <v>157</v>
      </c>
      <c r="D233" s="14" t="n">
        <v>74</v>
      </c>
      <c r="E233" s="14" t="n">
        <v>12.05</v>
      </c>
      <c r="F233" s="31" t="n">
        <v>0.1147</v>
      </c>
      <c r="G233" s="31" t="n">
        <v>0.4903</v>
      </c>
      <c r="H233" s="25" t="n">
        <v>944983.16</v>
      </c>
      <c r="I233" s="25" t="n">
        <v>53143.41</v>
      </c>
      <c r="J233" s="32" t="n">
        <f aca="false">F233*G233*H233</f>
        <v>53143.4054120156</v>
      </c>
      <c r="K233" s="32" t="n">
        <f aca="false">J233-I233</f>
        <v>-0.00458798440376995</v>
      </c>
      <c r="L233" s="28" t="n">
        <f aca="false">IF(B233=1,12,IF(B233=2,MIN(MAX(D233,1),60),6))</f>
        <v>60</v>
      </c>
      <c r="M233" s="11" t="n">
        <f aca="false">IF(B233=3,1,IFERROR(INDEX(PD_TermStructure!$C$2:$C$241,MATCH(C233&amp;"|"&amp;L233,PD_TermStructure!$D$2:$D$241,0)),0))</f>
        <v>1</v>
      </c>
      <c r="N233" s="22" t="n">
        <f aca="false">(1+E233/100)^(-(L233/12)/2)</f>
        <v>0.752437354508534</v>
      </c>
      <c r="O233" s="32" t="n">
        <f aca="false">IF(H233&lt;=0,0,M233*Assumptions!$B$3*H233*N233)</f>
        <v>294882.464959073</v>
      </c>
      <c r="P233" s="25" t="n">
        <v>294882.46</v>
      </c>
      <c r="Q233" s="32" t="n">
        <f aca="false">O233-P233</f>
        <v>0.00495907315053046</v>
      </c>
    </row>
    <row r="234" customFormat="false" ht="15" hidden="false" customHeight="false" outlineLevel="0" collapsed="false">
      <c r="A234" s="14" t="s">
        <v>403</v>
      </c>
      <c r="B234" s="14" t="n">
        <v>1</v>
      </c>
      <c r="C234" s="14" t="s">
        <v>154</v>
      </c>
      <c r="D234" s="14" t="n">
        <v>34</v>
      </c>
      <c r="E234" s="14" t="n">
        <v>13</v>
      </c>
      <c r="F234" s="31" t="n">
        <v>0.0141</v>
      </c>
      <c r="G234" s="31" t="n">
        <v>0.4398</v>
      </c>
      <c r="H234" s="25" t="n">
        <v>2448707.77</v>
      </c>
      <c r="I234" s="25" t="n">
        <v>15184.88</v>
      </c>
      <c r="J234" s="32" t="n">
        <f aca="false">F234*G234*H234</f>
        <v>15184.8776491686</v>
      </c>
      <c r="K234" s="32" t="n">
        <f aca="false">J234-I234</f>
        <v>-0.00235083139705239</v>
      </c>
      <c r="L234" s="28" t="n">
        <f aca="false">IF(B234=1,12,IF(B234=2,MIN(MAX(D234,1),60),6))</f>
        <v>12</v>
      </c>
      <c r="M234" s="11" t="n">
        <f aca="false">IF(B234=3,1,IFERROR(INDEX(PD_TermStructure!$C$2:$C$241,MATCH(C234&amp;"|"&amp;L234,PD_TermStructure!$D$2:$D$241,0)),0))</f>
        <v>0.109872</v>
      </c>
      <c r="N234" s="22" t="n">
        <f aca="false">(1+E234/100)^(-(L234/12)/2)</f>
        <v>0.940720868383597</v>
      </c>
      <c r="O234" s="32" t="n">
        <f aca="false">IF(H234&lt;=0,0,M234*Assumptions!$B$3*H234*N234)</f>
        <v>104963.740464583</v>
      </c>
      <c r="P234" s="25" t="n">
        <v>104963.74</v>
      </c>
      <c r="Q234" s="32" t="n">
        <f aca="false">O234-P234</f>
        <v>0.000464582873973995</v>
      </c>
    </row>
    <row r="235" customFormat="false" ht="15" hidden="false" customHeight="false" outlineLevel="0" collapsed="false">
      <c r="A235" s="14" t="s">
        <v>404</v>
      </c>
      <c r="B235" s="14" t="n">
        <v>1</v>
      </c>
      <c r="C235" s="14" t="s">
        <v>154</v>
      </c>
      <c r="D235" s="14" t="n">
        <v>73</v>
      </c>
      <c r="E235" s="14" t="n">
        <v>12.8</v>
      </c>
      <c r="F235" s="31" t="n">
        <v>0.0237</v>
      </c>
      <c r="G235" s="31" t="n">
        <v>0.6003</v>
      </c>
      <c r="H235" s="25" t="n">
        <v>879274.71</v>
      </c>
      <c r="I235" s="25" t="n">
        <v>12509.54</v>
      </c>
      <c r="J235" s="32" t="n">
        <f aca="false">F235*G235*H235</f>
        <v>12509.5380193881</v>
      </c>
      <c r="K235" s="32" t="n">
        <f aca="false">J235-I235</f>
        <v>-0.00198061190349108</v>
      </c>
      <c r="L235" s="28" t="n">
        <f aca="false">IF(B235=1,12,IF(B235=2,MIN(MAX(D235,1),60),6))</f>
        <v>12</v>
      </c>
      <c r="M235" s="11" t="n">
        <f aca="false">IF(B235=3,1,IFERROR(INDEX(PD_TermStructure!$C$2:$C$241,MATCH(C235&amp;"|"&amp;L235,PD_TermStructure!$D$2:$D$241,0)),0))</f>
        <v>0.109872</v>
      </c>
      <c r="N235" s="22" t="n">
        <f aca="false">(1+E235/100)^(-(L235/12)/2)</f>
        <v>0.941554471443387</v>
      </c>
      <c r="O235" s="32" t="n">
        <f aca="false">IF(H235&lt;=0,0,M235*Assumptions!$B$3*H235*N235)</f>
        <v>37723.4664216151</v>
      </c>
      <c r="P235" s="25" t="n">
        <v>37723.47</v>
      </c>
      <c r="Q235" s="32" t="n">
        <f aca="false">O235-P235</f>
        <v>-0.0035783848943538</v>
      </c>
    </row>
    <row r="236" customFormat="false" ht="15" hidden="false" customHeight="false" outlineLevel="0" collapsed="false">
      <c r="A236" s="14" t="s">
        <v>405</v>
      </c>
      <c r="B236" s="14" t="n">
        <v>1</v>
      </c>
      <c r="C236" s="14" t="s">
        <v>154</v>
      </c>
      <c r="D236" s="14" t="n">
        <v>78</v>
      </c>
      <c r="E236" s="14" t="n">
        <v>11.91</v>
      </c>
      <c r="F236" s="31" t="n">
        <v>0.0144</v>
      </c>
      <c r="G236" s="31" t="n">
        <v>0.5567</v>
      </c>
      <c r="H236" s="25" t="n">
        <v>1757717.84</v>
      </c>
      <c r="I236" s="25" t="n">
        <v>14090.71</v>
      </c>
      <c r="J236" s="32" t="n">
        <f aca="false">F236*G236*H236</f>
        <v>14090.7099100032</v>
      </c>
      <c r="K236" s="32" t="n">
        <f aca="false">J236-I236</f>
        <v>-8.99967999430373E-005</v>
      </c>
      <c r="L236" s="28" t="n">
        <f aca="false">IF(B236=1,12,IF(B236=2,MIN(MAX(D236,1),60),6))</f>
        <v>12</v>
      </c>
      <c r="M236" s="11" t="n">
        <f aca="false">IF(B236=3,1,IFERROR(INDEX(PD_TermStructure!$C$2:$C$241,MATCH(C236&amp;"|"&amp;L236,PD_TermStructure!$D$2:$D$241,0)),0))</f>
        <v>0.109872</v>
      </c>
      <c r="N236" s="22" t="n">
        <f aca="false">(1+E236/100)^(-(L236/12)/2)</f>
        <v>0.945291063298815</v>
      </c>
      <c r="O236" s="32" t="n">
        <f aca="false">IF(H236&lt;=0,0,M236*Assumptions!$B$3*H236*N236)</f>
        <v>75710.5278256967</v>
      </c>
      <c r="P236" s="25" t="n">
        <v>75710.53</v>
      </c>
      <c r="Q236" s="32" t="n">
        <f aca="false">O236-P236</f>
        <v>-0.00217430328484625</v>
      </c>
    </row>
    <row r="237" customFormat="false" ht="15" hidden="false" customHeight="false" outlineLevel="0" collapsed="false">
      <c r="A237" s="14" t="s">
        <v>406</v>
      </c>
      <c r="B237" s="14" t="n">
        <v>1</v>
      </c>
      <c r="C237" s="14" t="s">
        <v>154</v>
      </c>
      <c r="D237" s="14" t="n">
        <v>26</v>
      </c>
      <c r="E237" s="14" t="n">
        <v>8.4</v>
      </c>
      <c r="F237" s="31" t="n">
        <v>0.0173</v>
      </c>
      <c r="G237" s="31" t="n">
        <v>0.3522</v>
      </c>
      <c r="H237" s="25" t="n">
        <v>195870.83</v>
      </c>
      <c r="I237" s="25" t="n">
        <v>1193.45</v>
      </c>
      <c r="J237" s="32" t="n">
        <f aca="false">F237*G237*H237</f>
        <v>1193.4527194398</v>
      </c>
      <c r="K237" s="32" t="n">
        <f aca="false">J237-I237</f>
        <v>0.00271943979987555</v>
      </c>
      <c r="L237" s="28" t="n">
        <f aca="false">IF(B237=1,12,IF(B237=2,MIN(MAX(D237,1),60),6))</f>
        <v>12</v>
      </c>
      <c r="M237" s="11" t="n">
        <f aca="false">IF(B237=3,1,IFERROR(INDEX(PD_TermStructure!$C$2:$C$241,MATCH(C237&amp;"|"&amp;L237,PD_TermStructure!$D$2:$D$241,0)),0))</f>
        <v>0.109872</v>
      </c>
      <c r="N237" s="22" t="n">
        <f aca="false">(1+E237/100)^(-(L237/12)/2)</f>
        <v>0.960473437994123</v>
      </c>
      <c r="O237" s="32" t="n">
        <f aca="false">IF(H237&lt;=0,0,M237*Assumptions!$B$3*H237*N237)</f>
        <v>8572.28662364102</v>
      </c>
      <c r="P237" s="25" t="n">
        <v>8572.29</v>
      </c>
      <c r="Q237" s="32" t="n">
        <f aca="false">O237-P237</f>
        <v>-0.00337635897813016</v>
      </c>
    </row>
    <row r="238" customFormat="false" ht="15" hidden="false" customHeight="false" outlineLevel="0" collapsed="false">
      <c r="A238" s="14" t="s">
        <v>407</v>
      </c>
      <c r="B238" s="14" t="n">
        <v>2</v>
      </c>
      <c r="C238" s="14" t="s">
        <v>157</v>
      </c>
      <c r="D238" s="14" t="n">
        <v>53</v>
      </c>
      <c r="E238" s="14" t="n">
        <v>10.24</v>
      </c>
      <c r="F238" s="31" t="n">
        <v>0.1494</v>
      </c>
      <c r="G238" s="31" t="n">
        <v>0.4734</v>
      </c>
      <c r="H238" s="25" t="n">
        <v>1458122.75</v>
      </c>
      <c r="I238" s="25" t="n">
        <v>103127.13</v>
      </c>
      <c r="J238" s="32" t="n">
        <f aca="false">F238*G238*H238</f>
        <v>103127.13129159</v>
      </c>
      <c r="K238" s="32" t="n">
        <f aca="false">J238-I238</f>
        <v>0.00129159000061918</v>
      </c>
      <c r="L238" s="28" t="n">
        <f aca="false">IF(B238=1,12,IF(B238=2,MIN(MAX(D238,1),60),6))</f>
        <v>53</v>
      </c>
      <c r="M238" s="11" t="n">
        <f aca="false">IF(B238=3,1,IFERROR(INDEX(PD_TermStructure!$C$2:$C$241,MATCH(C238&amp;"|"&amp;L238,PD_TermStructure!$D$2:$D$241,0)),0))</f>
        <v>1</v>
      </c>
      <c r="N238" s="22" t="n">
        <f aca="false">(1+E238/100)^(-(L238/12)/2)</f>
        <v>0.806307915462208</v>
      </c>
      <c r="O238" s="32" t="n">
        <f aca="false">IF(H238&lt;=0,0,M238*Assumptions!$B$3*H238*N238)</f>
        <v>487584.106092308</v>
      </c>
      <c r="P238" s="25" t="n">
        <v>487584.11</v>
      </c>
      <c r="Q238" s="32" t="n">
        <f aca="false">O238-P238</f>
        <v>-0.0039076924440451</v>
      </c>
    </row>
    <row r="239" customFormat="false" ht="15" hidden="false" customHeight="false" outlineLevel="0" collapsed="false">
      <c r="A239" s="14" t="s">
        <v>408</v>
      </c>
      <c r="B239" s="14" t="n">
        <v>1</v>
      </c>
      <c r="C239" s="14" t="s">
        <v>154</v>
      </c>
      <c r="D239" s="14" t="n">
        <v>38</v>
      </c>
      <c r="E239" s="14" t="n">
        <v>10.17</v>
      </c>
      <c r="F239" s="31" t="n">
        <v>0.0196</v>
      </c>
      <c r="G239" s="31" t="n">
        <v>0.4337</v>
      </c>
      <c r="H239" s="25" t="n">
        <v>386652.94</v>
      </c>
      <c r="I239" s="25" t="n">
        <v>3286.75</v>
      </c>
      <c r="J239" s="32" t="n">
        <f aca="false">F239*G239*H239</f>
        <v>3286.7510495288</v>
      </c>
      <c r="K239" s="32" t="n">
        <f aca="false">J239-I239</f>
        <v>0.00104952879974007</v>
      </c>
      <c r="L239" s="28" t="n">
        <f aca="false">IF(B239=1,12,IF(B239=2,MIN(MAX(D239,1),60),6))</f>
        <v>12</v>
      </c>
      <c r="M239" s="11" t="n">
        <f aca="false">IF(B239=3,1,IFERROR(INDEX(PD_TermStructure!$C$2:$C$241,MATCH(C239&amp;"|"&amp;L239,PD_TermStructure!$D$2:$D$241,0)),0))</f>
        <v>0.109872</v>
      </c>
      <c r="N239" s="22" t="n">
        <f aca="false">(1+E239/100)^(-(L239/12)/2)</f>
        <v>0.952726675580426</v>
      </c>
      <c r="O239" s="32" t="n">
        <f aca="false">IF(H239&lt;=0,0,M239*Assumptions!$B$3*H239*N239)</f>
        <v>16785.3809916431</v>
      </c>
      <c r="P239" s="25" t="n">
        <v>16785.38</v>
      </c>
      <c r="Q239" s="32" t="n">
        <f aca="false">O239-P239</f>
        <v>0.000991643122688402</v>
      </c>
    </row>
    <row r="240" customFormat="false" ht="15" hidden="false" customHeight="false" outlineLevel="0" collapsed="false">
      <c r="A240" s="14" t="s">
        <v>409</v>
      </c>
      <c r="B240" s="14" t="n">
        <v>1</v>
      </c>
      <c r="C240" s="14" t="s">
        <v>154</v>
      </c>
      <c r="D240" s="14" t="n">
        <v>14</v>
      </c>
      <c r="E240" s="14" t="n">
        <v>12.5</v>
      </c>
      <c r="F240" s="31" t="n">
        <v>0.0249</v>
      </c>
      <c r="G240" s="31" t="n">
        <v>0.41</v>
      </c>
      <c r="H240" s="25" t="n">
        <v>265762.36</v>
      </c>
      <c r="I240" s="25" t="n">
        <v>2713.17</v>
      </c>
      <c r="J240" s="32" t="n">
        <f aca="false">F240*G240*H240</f>
        <v>2713.16793324</v>
      </c>
      <c r="K240" s="32" t="n">
        <f aca="false">J240-I240</f>
        <v>-0.00206676000061634</v>
      </c>
      <c r="L240" s="28" t="n">
        <f aca="false">IF(B240=1,12,IF(B240=2,MIN(MAX(D240,1),60),6))</f>
        <v>12</v>
      </c>
      <c r="M240" s="11" t="n">
        <f aca="false">IF(B240=3,1,IFERROR(INDEX(PD_TermStructure!$C$2:$C$241,MATCH(C240&amp;"|"&amp;L240,PD_TermStructure!$D$2:$D$241,0)),0))</f>
        <v>0.109872</v>
      </c>
      <c r="N240" s="22" t="n">
        <f aca="false">(1+E240/100)^(-(L240/12)/2)</f>
        <v>0.942809041582063</v>
      </c>
      <c r="O240" s="32" t="n">
        <f aca="false">IF(H240&lt;=0,0,M240*Assumptions!$B$3*H240*N240)</f>
        <v>11417.1779911658</v>
      </c>
      <c r="P240" s="25" t="n">
        <v>11417.18</v>
      </c>
      <c r="Q240" s="32" t="n">
        <f aca="false">O240-P240</f>
        <v>-0.0020088341589144</v>
      </c>
    </row>
    <row r="241" customFormat="false" ht="15" hidden="false" customHeight="false" outlineLevel="0" collapsed="false">
      <c r="A241" s="14" t="s">
        <v>410</v>
      </c>
      <c r="B241" s="14" t="n">
        <v>1</v>
      </c>
      <c r="C241" s="14" t="s">
        <v>154</v>
      </c>
      <c r="D241" s="14" t="n">
        <v>21</v>
      </c>
      <c r="E241" s="14" t="n">
        <v>11.43</v>
      </c>
      <c r="F241" s="31" t="n">
        <v>0.0219</v>
      </c>
      <c r="G241" s="31" t="n">
        <v>0.4335</v>
      </c>
      <c r="H241" s="25" t="n">
        <v>648027.17</v>
      </c>
      <c r="I241" s="25" t="n">
        <v>6152.14</v>
      </c>
      <c r="J241" s="32" t="n">
        <f aca="false">F241*G241*H241</f>
        <v>6152.1431424705</v>
      </c>
      <c r="K241" s="32" t="n">
        <f aca="false">J241-I241</f>
        <v>0.00314247049936967</v>
      </c>
      <c r="L241" s="28" t="n">
        <f aca="false">IF(B241=1,12,IF(B241=2,MIN(MAX(D241,1),60),6))</f>
        <v>12</v>
      </c>
      <c r="M241" s="11" t="n">
        <f aca="false">IF(B241=3,1,IFERROR(INDEX(PD_TermStructure!$C$2:$C$241,MATCH(C241&amp;"|"&amp;L241,PD_TermStructure!$D$2:$D$241,0)),0))</f>
        <v>0.109872</v>
      </c>
      <c r="N241" s="22" t="n">
        <f aca="false">(1+E241/100)^(-(L241/12)/2)</f>
        <v>0.947324860855543</v>
      </c>
      <c r="O241" s="32" t="n">
        <f aca="false">IF(H241&lt;=0,0,M241*Assumptions!$B$3*H241*N241)</f>
        <v>27972.6564127269</v>
      </c>
      <c r="P241" s="25" t="n">
        <v>27972.66</v>
      </c>
      <c r="Q241" s="32" t="n">
        <f aca="false">O241-P241</f>
        <v>-0.0035872730659321</v>
      </c>
    </row>
    <row r="242" customFormat="false" ht="15" hidden="false" customHeight="false" outlineLevel="0" collapsed="false">
      <c r="A242" s="14" t="s">
        <v>411</v>
      </c>
      <c r="B242" s="14" t="n">
        <v>1</v>
      </c>
      <c r="C242" s="14" t="s">
        <v>154</v>
      </c>
      <c r="D242" s="14" t="n">
        <v>65</v>
      </c>
      <c r="E242" s="14" t="n">
        <v>12.25</v>
      </c>
      <c r="F242" s="31" t="n">
        <v>0.0168</v>
      </c>
      <c r="G242" s="31" t="n">
        <v>0.5349</v>
      </c>
      <c r="H242" s="25" t="n">
        <v>855896.51</v>
      </c>
      <c r="I242" s="25" t="n">
        <v>7691.36</v>
      </c>
      <c r="J242" s="32" t="n">
        <f aca="false">F242*G242*H242</f>
        <v>7691.3599257432</v>
      </c>
      <c r="K242" s="32" t="n">
        <f aca="false">J242-I242</f>
        <v>-7.42567990528187E-005</v>
      </c>
      <c r="L242" s="28" t="n">
        <f aca="false">IF(B242=1,12,IF(B242=2,MIN(MAX(D242,1),60),6))</f>
        <v>12</v>
      </c>
      <c r="M242" s="11" t="n">
        <f aca="false">IF(B242=3,1,IFERROR(INDEX(PD_TermStructure!$C$2:$C$241,MATCH(C242&amp;"|"&amp;L242,PD_TermStructure!$D$2:$D$241,0)),0))</f>
        <v>0.109872</v>
      </c>
      <c r="N242" s="22" t="n">
        <f aca="false">(1+E242/100)^(-(L242/12)/2)</f>
        <v>0.943858356366017</v>
      </c>
      <c r="O242" s="32" t="n">
        <f aca="false">IF(H242&lt;=0,0,M242*Assumptions!$B$3*H242*N242)</f>
        <v>36810.324149793</v>
      </c>
      <c r="P242" s="25" t="n">
        <v>36810.32</v>
      </c>
      <c r="Q242" s="32" t="n">
        <f aca="false">O242-P242</f>
        <v>0.00414979302877327</v>
      </c>
    </row>
    <row r="243" customFormat="false" ht="15" hidden="false" customHeight="false" outlineLevel="0" collapsed="false">
      <c r="A243" s="14" t="s">
        <v>412</v>
      </c>
      <c r="B243" s="14" t="n">
        <v>1</v>
      </c>
      <c r="C243" s="14" t="s">
        <v>154</v>
      </c>
      <c r="D243" s="14" t="n">
        <v>64</v>
      </c>
      <c r="E243" s="14" t="n">
        <v>14.42</v>
      </c>
      <c r="F243" s="31" t="n">
        <v>0.0236</v>
      </c>
      <c r="G243" s="31" t="n">
        <v>0.5589</v>
      </c>
      <c r="H243" s="25" t="n">
        <v>617361.56</v>
      </c>
      <c r="I243" s="25" t="n">
        <v>8143.02</v>
      </c>
      <c r="J243" s="32" t="n">
        <f aca="false">F243*G243*H243</f>
        <v>8143.0236708624</v>
      </c>
      <c r="K243" s="32" t="n">
        <f aca="false">J243-I243</f>
        <v>0.00367086239930359</v>
      </c>
      <c r="L243" s="28" t="n">
        <f aca="false">IF(B243=1,12,IF(B243=2,MIN(MAX(D243,1),60),6))</f>
        <v>12</v>
      </c>
      <c r="M243" s="11" t="n">
        <f aca="false">IF(B243=3,1,IFERROR(INDEX(PD_TermStructure!$C$2:$C$241,MATCH(C243&amp;"|"&amp;L243,PD_TermStructure!$D$2:$D$241,0)),0))</f>
        <v>0.109872</v>
      </c>
      <c r="N243" s="22" t="n">
        <f aca="false">(1+E243/100)^(-(L243/12)/2)</f>
        <v>0.934865274587245</v>
      </c>
      <c r="O243" s="32" t="n">
        <f aca="false">IF(H243&lt;=0,0,M243*Assumptions!$B$3*H243*N243)</f>
        <v>26298.4513127528</v>
      </c>
      <c r="P243" s="25" t="n">
        <v>26298.45</v>
      </c>
      <c r="Q243" s="32" t="n">
        <f aca="false">O243-P243</f>
        <v>0.00131275284002186</v>
      </c>
    </row>
    <row r="244" customFormat="false" ht="15" hidden="false" customHeight="false" outlineLevel="0" collapsed="false">
      <c r="A244" s="14" t="s">
        <v>413</v>
      </c>
      <c r="B244" s="14" t="n">
        <v>1</v>
      </c>
      <c r="C244" s="14" t="s">
        <v>154</v>
      </c>
      <c r="D244" s="14" t="n">
        <v>36</v>
      </c>
      <c r="E244" s="14" t="n">
        <v>11.05</v>
      </c>
      <c r="F244" s="31" t="n">
        <v>0.0185</v>
      </c>
      <c r="G244" s="31" t="n">
        <v>0.4912</v>
      </c>
      <c r="H244" s="25" t="n">
        <v>250260.47</v>
      </c>
      <c r="I244" s="25" t="n">
        <v>2274.17</v>
      </c>
      <c r="J244" s="32" t="n">
        <f aca="false">F244*G244*H244</f>
        <v>2274.166942984</v>
      </c>
      <c r="K244" s="32" t="n">
        <f aca="false">J244-I244</f>
        <v>-0.00305701600018438</v>
      </c>
      <c r="L244" s="28" t="n">
        <f aca="false">IF(B244=1,12,IF(B244=2,MIN(MAX(D244,1),60),6))</f>
        <v>12</v>
      </c>
      <c r="M244" s="11" t="n">
        <f aca="false">IF(B244=3,1,IFERROR(INDEX(PD_TermStructure!$C$2:$C$241,MATCH(C244&amp;"|"&amp;L244,PD_TermStructure!$D$2:$D$241,0)),0))</f>
        <v>0.109872</v>
      </c>
      <c r="N244" s="22" t="n">
        <f aca="false">(1+E244/100)^(-(L244/12)/2)</f>
        <v>0.948944293623087</v>
      </c>
      <c r="O244" s="32" t="n">
        <f aca="false">IF(H244&lt;=0,0,M244*Assumptions!$B$3*H244*N244)</f>
        <v>10821.1778674382</v>
      </c>
      <c r="P244" s="25" t="n">
        <v>10821.18</v>
      </c>
      <c r="Q244" s="32" t="n">
        <f aca="false">O244-P244</f>
        <v>-0.00213256180722965</v>
      </c>
    </row>
    <row r="245" customFormat="false" ht="15" hidden="false" customHeight="false" outlineLevel="0" collapsed="false">
      <c r="A245" s="14" t="s">
        <v>414</v>
      </c>
      <c r="B245" s="14" t="n">
        <v>1</v>
      </c>
      <c r="C245" s="14" t="s">
        <v>154</v>
      </c>
      <c r="D245" s="14" t="n">
        <v>28</v>
      </c>
      <c r="E245" s="14" t="n">
        <v>9.3</v>
      </c>
      <c r="F245" s="31" t="n">
        <v>0.0189</v>
      </c>
      <c r="G245" s="31" t="n">
        <v>0.4747</v>
      </c>
      <c r="H245" s="25" t="n">
        <v>907137.95</v>
      </c>
      <c r="I245" s="25" t="n">
        <v>8138.69</v>
      </c>
      <c r="J245" s="32" t="n">
        <f aca="false">F245*G245*H245</f>
        <v>8138.6874739485</v>
      </c>
      <c r="K245" s="32" t="n">
        <f aca="false">J245-I245</f>
        <v>-0.00252605150035379</v>
      </c>
      <c r="L245" s="28" t="n">
        <f aca="false">IF(B245=1,12,IF(B245=2,MIN(MAX(D245,1),60),6))</f>
        <v>12</v>
      </c>
      <c r="M245" s="11" t="n">
        <f aca="false">IF(B245=3,1,IFERROR(INDEX(PD_TermStructure!$C$2:$C$241,MATCH(C245&amp;"|"&amp;L245,PD_TermStructure!$D$2:$D$241,0)),0))</f>
        <v>0.109872</v>
      </c>
      <c r="N245" s="22" t="n">
        <f aca="false">(1+E245/100)^(-(L245/12)/2)</f>
        <v>0.956510890297173</v>
      </c>
      <c r="O245" s="32" t="n">
        <f aca="false">IF(H245&lt;=0,0,M245*Assumptions!$B$3*H245*N245)</f>
        <v>39537.1004571391</v>
      </c>
      <c r="P245" s="25" t="n">
        <v>39537.1</v>
      </c>
      <c r="Q245" s="32" t="n">
        <f aca="false">O245-P245</f>
        <v>0.000457139110949356</v>
      </c>
    </row>
    <row r="246" customFormat="false" ht="15" hidden="false" customHeight="false" outlineLevel="0" collapsed="false">
      <c r="A246" s="14" t="s">
        <v>415</v>
      </c>
      <c r="B246" s="14" t="n">
        <v>1</v>
      </c>
      <c r="C246" s="14" t="s">
        <v>154</v>
      </c>
      <c r="D246" s="14" t="n">
        <v>17</v>
      </c>
      <c r="E246" s="14" t="n">
        <v>12.9</v>
      </c>
      <c r="F246" s="31" t="n">
        <v>0.0171</v>
      </c>
      <c r="G246" s="31" t="n">
        <v>0.4866</v>
      </c>
      <c r="H246" s="25" t="n">
        <v>194762.65</v>
      </c>
      <c r="I246" s="25" t="n">
        <v>1620.59</v>
      </c>
      <c r="J246" s="32" t="n">
        <f aca="false">F246*G246*H246</f>
        <v>1620.592743879</v>
      </c>
      <c r="K246" s="32" t="n">
        <f aca="false">J246-I246</f>
        <v>0.00274387899980866</v>
      </c>
      <c r="L246" s="28" t="n">
        <f aca="false">IF(B246=1,12,IF(B246=2,MIN(MAX(D246,1),60),6))</f>
        <v>12</v>
      </c>
      <c r="M246" s="11" t="n">
        <f aca="false">IF(B246=3,1,IFERROR(INDEX(PD_TermStructure!$C$2:$C$241,MATCH(C246&amp;"|"&amp;L246,PD_TermStructure!$D$2:$D$241,0)),0))</f>
        <v>0.109872</v>
      </c>
      <c r="N246" s="22" t="n">
        <f aca="false">(1+E246/100)^(-(L246/12)/2)</f>
        <v>0.941137393030257</v>
      </c>
      <c r="O246" s="32" t="n">
        <f aca="false">IF(H246&lt;=0,0,M246*Assumptions!$B$3*H246*N246)</f>
        <v>8352.18807564798</v>
      </c>
      <c r="P246" s="25" t="n">
        <v>8352.19</v>
      </c>
      <c r="Q246" s="32" t="n">
        <f aca="false">O246-P246</f>
        <v>-0.00192435202006891</v>
      </c>
    </row>
    <row r="247" customFormat="false" ht="15" hidden="false" customHeight="false" outlineLevel="0" collapsed="false">
      <c r="A247" s="14" t="s">
        <v>416</v>
      </c>
      <c r="B247" s="14" t="n">
        <v>1</v>
      </c>
      <c r="C247" s="14" t="s">
        <v>154</v>
      </c>
      <c r="D247" s="14" t="n">
        <v>33</v>
      </c>
      <c r="E247" s="14" t="n">
        <v>8.66</v>
      </c>
      <c r="F247" s="31" t="n">
        <v>0.0224</v>
      </c>
      <c r="G247" s="31" t="n">
        <v>0.3519</v>
      </c>
      <c r="H247" s="25" t="n">
        <v>234769.64</v>
      </c>
      <c r="I247" s="25" t="n">
        <v>1850.59</v>
      </c>
      <c r="J247" s="32" t="n">
        <f aca="false">F247*G247*H247</f>
        <v>1850.5857734784</v>
      </c>
      <c r="K247" s="32" t="n">
        <f aca="false">J247-I247</f>
        <v>-0.00422652159977588</v>
      </c>
      <c r="L247" s="28" t="n">
        <f aca="false">IF(B247=1,12,IF(B247=2,MIN(MAX(D247,1),60),6))</f>
        <v>12</v>
      </c>
      <c r="M247" s="11" t="n">
        <f aca="false">IF(B247=3,1,IFERROR(INDEX(PD_TermStructure!$C$2:$C$241,MATCH(C247&amp;"|"&amp;L247,PD_TermStructure!$D$2:$D$241,0)),0))</f>
        <v>0.109872</v>
      </c>
      <c r="N247" s="22" t="n">
        <f aca="false">(1+E247/100)^(-(L247/12)/2)</f>
        <v>0.959323646643694</v>
      </c>
      <c r="O247" s="32" t="n">
        <f aca="false">IF(H247&lt;=0,0,M247*Assumptions!$B$3*H247*N247)</f>
        <v>10262.3930664249</v>
      </c>
      <c r="P247" s="25" t="n">
        <v>10262.39</v>
      </c>
      <c r="Q247" s="32" t="n">
        <f aca="false">O247-P247</f>
        <v>0.0030664248552057</v>
      </c>
    </row>
    <row r="248" customFormat="false" ht="15" hidden="false" customHeight="false" outlineLevel="0" collapsed="false">
      <c r="A248" s="14" t="s">
        <v>417</v>
      </c>
      <c r="B248" s="14" t="n">
        <v>1</v>
      </c>
      <c r="C248" s="14" t="s">
        <v>154</v>
      </c>
      <c r="D248" s="14" t="n">
        <v>20</v>
      </c>
      <c r="E248" s="14" t="n">
        <v>10.65</v>
      </c>
      <c r="F248" s="31" t="n">
        <v>0.0148</v>
      </c>
      <c r="G248" s="31" t="n">
        <v>0.3589</v>
      </c>
      <c r="H248" s="25" t="n">
        <v>334434.12</v>
      </c>
      <c r="I248" s="25" t="n">
        <v>1776.42</v>
      </c>
      <c r="J248" s="32" t="n">
        <f aca="false">F248*G248*H248</f>
        <v>1776.4204038864</v>
      </c>
      <c r="K248" s="32" t="n">
        <f aca="false">J248-I248</f>
        <v>0.000403886399908515</v>
      </c>
      <c r="L248" s="28" t="n">
        <f aca="false">IF(B248=1,12,IF(B248=2,MIN(MAX(D248,1),60),6))</f>
        <v>12</v>
      </c>
      <c r="M248" s="11" t="n">
        <f aca="false">IF(B248=3,1,IFERROR(INDEX(PD_TermStructure!$C$2:$C$241,MATCH(C248&amp;"|"&amp;L248,PD_TermStructure!$D$2:$D$241,0)),0))</f>
        <v>0.109872</v>
      </c>
      <c r="N248" s="22" t="n">
        <f aca="false">(1+E248/100)^(-(L248/12)/2)</f>
        <v>0.950657964172237</v>
      </c>
      <c r="O248" s="32" t="n">
        <f aca="false">IF(H248&lt;=0,0,M248*Assumptions!$B$3*H248*N248)</f>
        <v>14486.9323180365</v>
      </c>
      <c r="P248" s="25" t="n">
        <v>14486.93</v>
      </c>
      <c r="Q248" s="32" t="n">
        <f aca="false">O248-P248</f>
        <v>0.00231803646966</v>
      </c>
    </row>
    <row r="249" customFormat="false" ht="15" hidden="false" customHeight="false" outlineLevel="0" collapsed="false">
      <c r="A249" s="14" t="s">
        <v>418</v>
      </c>
      <c r="B249" s="14" t="n">
        <v>1</v>
      </c>
      <c r="C249" s="14" t="s">
        <v>154</v>
      </c>
      <c r="D249" s="14" t="n">
        <v>27</v>
      </c>
      <c r="E249" s="14" t="n">
        <v>10.81</v>
      </c>
      <c r="F249" s="31" t="n">
        <v>0.0227</v>
      </c>
      <c r="G249" s="31" t="n">
        <v>0.6164</v>
      </c>
      <c r="H249" s="25" t="n">
        <v>147593.2</v>
      </c>
      <c r="I249" s="25" t="n">
        <v>2065.17</v>
      </c>
      <c r="J249" s="32" t="n">
        <f aca="false">F249*G249*H249</f>
        <v>2065.165380496</v>
      </c>
      <c r="K249" s="32" t="n">
        <f aca="false">J249-I249</f>
        <v>-0.00461950399994748</v>
      </c>
      <c r="L249" s="28" t="n">
        <f aca="false">IF(B249=1,12,IF(B249=2,MIN(MAX(D249,1),60),6))</f>
        <v>12</v>
      </c>
      <c r="M249" s="11" t="n">
        <f aca="false">IF(B249=3,1,IFERROR(INDEX(PD_TermStructure!$C$2:$C$241,MATCH(C249&amp;"|"&amp;L249,PD_TermStructure!$D$2:$D$241,0)),0))</f>
        <v>0.109872</v>
      </c>
      <c r="N249" s="22" t="n">
        <f aca="false">(1+E249/100)^(-(L249/12)/2)</f>
        <v>0.949971382543145</v>
      </c>
      <c r="O249" s="32" t="n">
        <f aca="false">IF(H249&lt;=0,0,M249*Assumptions!$B$3*H249*N249)</f>
        <v>6388.78734528223</v>
      </c>
      <c r="P249" s="25" t="n">
        <v>6388.79</v>
      </c>
      <c r="Q249" s="32" t="n">
        <f aca="false">O249-P249</f>
        <v>-0.00265471777038329</v>
      </c>
    </row>
    <row r="250" customFormat="false" ht="15" hidden="false" customHeight="false" outlineLevel="0" collapsed="false">
      <c r="A250" s="14" t="s">
        <v>419</v>
      </c>
      <c r="B250" s="14" t="n">
        <v>1</v>
      </c>
      <c r="C250" s="14" t="s">
        <v>154</v>
      </c>
      <c r="D250" s="14" t="n">
        <v>56</v>
      </c>
      <c r="E250" s="14" t="n">
        <v>7.62</v>
      </c>
      <c r="F250" s="31" t="n">
        <v>0.0225</v>
      </c>
      <c r="G250" s="31" t="n">
        <v>0.611</v>
      </c>
      <c r="H250" s="25" t="n">
        <v>462210.51</v>
      </c>
      <c r="I250" s="25" t="n">
        <v>6354.24</v>
      </c>
      <c r="J250" s="32" t="n">
        <f aca="false">F250*G250*H250</f>
        <v>6354.238986225</v>
      </c>
      <c r="K250" s="32" t="n">
        <f aca="false">J250-I250</f>
        <v>-0.00101377499959199</v>
      </c>
      <c r="L250" s="28" t="n">
        <f aca="false">IF(B250=1,12,IF(B250=2,MIN(MAX(D250,1),60),6))</f>
        <v>12</v>
      </c>
      <c r="M250" s="11" t="n">
        <f aca="false">IF(B250=3,1,IFERROR(INDEX(PD_TermStructure!$C$2:$C$241,MATCH(C250&amp;"|"&amp;L250,PD_TermStructure!$D$2:$D$241,0)),0))</f>
        <v>0.109872</v>
      </c>
      <c r="N250" s="22" t="n">
        <f aca="false">(1+E250/100)^(-(L250/12)/2)</f>
        <v>0.963947777037534</v>
      </c>
      <c r="O250" s="32" t="n">
        <f aca="false">IF(H250&lt;=0,0,M250*Assumptions!$B$3*H250*N250)</f>
        <v>20301.8158343173</v>
      </c>
      <c r="P250" s="25" t="n">
        <v>20301.82</v>
      </c>
      <c r="Q250" s="32" t="n">
        <f aca="false">O250-P250</f>
        <v>-0.00416568271975848</v>
      </c>
    </row>
    <row r="251" customFormat="false" ht="15" hidden="false" customHeight="false" outlineLevel="0" collapsed="false">
      <c r="A251" s="14" t="s">
        <v>420</v>
      </c>
      <c r="B251" s="14" t="n">
        <v>1</v>
      </c>
      <c r="C251" s="14" t="s">
        <v>154</v>
      </c>
      <c r="D251" s="14" t="n">
        <v>59</v>
      </c>
      <c r="E251" s="14" t="n">
        <v>9.19</v>
      </c>
      <c r="F251" s="31" t="n">
        <v>0.0151</v>
      </c>
      <c r="G251" s="31" t="n">
        <v>0.5575</v>
      </c>
      <c r="H251" s="25" t="n">
        <v>1774089.11</v>
      </c>
      <c r="I251" s="25" t="n">
        <v>14934.73</v>
      </c>
      <c r="J251" s="32" t="n">
        <f aca="false">F251*G251*H251</f>
        <v>14934.7256502575</v>
      </c>
      <c r="K251" s="32" t="n">
        <f aca="false">J251-I251</f>
        <v>-0.00434974249765219</v>
      </c>
      <c r="L251" s="28" t="n">
        <f aca="false">IF(B251=1,12,IF(B251=2,MIN(MAX(D251,1),60),6))</f>
        <v>12</v>
      </c>
      <c r="M251" s="11" t="n">
        <f aca="false">IF(B251=3,1,IFERROR(INDEX(PD_TermStructure!$C$2:$C$241,MATCH(C251&amp;"|"&amp;L251,PD_TermStructure!$D$2:$D$241,0)),0))</f>
        <v>0.109872</v>
      </c>
      <c r="N251" s="22" t="n">
        <f aca="false">(1+E251/100)^(-(L251/12)/2)</f>
        <v>0.956992572283126</v>
      </c>
      <c r="O251" s="32" t="n">
        <f aca="false">IF(H251&lt;=0,0,M251*Assumptions!$B$3*H251*N251)</f>
        <v>77361.6204733853</v>
      </c>
      <c r="P251" s="25" t="n">
        <v>77361.62</v>
      </c>
      <c r="Q251" s="32" t="n">
        <f aca="false">O251-P251</f>
        <v>0.00047338534204755</v>
      </c>
    </row>
    <row r="252" customFormat="false" ht="15" hidden="false" customHeight="false" outlineLevel="0" collapsed="false">
      <c r="A252" s="14" t="s">
        <v>421</v>
      </c>
      <c r="B252" s="14" t="n">
        <v>1</v>
      </c>
      <c r="C252" s="14" t="s">
        <v>154</v>
      </c>
      <c r="D252" s="14" t="n">
        <v>16</v>
      </c>
      <c r="E252" s="14" t="n">
        <v>8.12</v>
      </c>
      <c r="F252" s="31" t="n">
        <v>0.0202</v>
      </c>
      <c r="G252" s="31" t="n">
        <v>0.5305</v>
      </c>
      <c r="H252" s="25" t="n">
        <v>307104.15</v>
      </c>
      <c r="I252" s="25" t="n">
        <v>3290.96</v>
      </c>
      <c r="J252" s="32" t="n">
        <f aca="false">F252*G252*H252</f>
        <v>3290.958781815</v>
      </c>
      <c r="K252" s="32" t="n">
        <f aca="false">J252-I252</f>
        <v>-0.00121818500019799</v>
      </c>
      <c r="L252" s="28" t="n">
        <f aca="false">IF(B252=1,12,IF(B252=2,MIN(MAX(D252,1),60),6))</f>
        <v>12</v>
      </c>
      <c r="M252" s="11" t="n">
        <f aca="false">IF(B252=3,1,IFERROR(INDEX(PD_TermStructure!$C$2:$C$241,MATCH(C252&amp;"|"&amp;L252,PD_TermStructure!$D$2:$D$241,0)),0))</f>
        <v>0.109872</v>
      </c>
      <c r="N252" s="22" t="n">
        <f aca="false">(1+E252/100)^(-(L252/12)/2)</f>
        <v>0.961716310141025</v>
      </c>
      <c r="O252" s="32" t="n">
        <f aca="false">IF(H252&lt;=0,0,M252*Assumptions!$B$3*H252*N252)</f>
        <v>13457.8048979261</v>
      </c>
      <c r="P252" s="25" t="n">
        <v>13457.8</v>
      </c>
      <c r="Q252" s="32" t="n">
        <f aca="false">O252-P252</f>
        <v>0.00489792605185357</v>
      </c>
    </row>
    <row r="253" customFormat="false" ht="15" hidden="false" customHeight="false" outlineLevel="0" collapsed="false">
      <c r="A253" s="14" t="s">
        <v>422</v>
      </c>
      <c r="B253" s="14" t="n">
        <v>1</v>
      </c>
      <c r="C253" s="14" t="s">
        <v>154</v>
      </c>
      <c r="D253" s="14" t="n">
        <v>24</v>
      </c>
      <c r="E253" s="14" t="n">
        <v>11.69</v>
      </c>
      <c r="F253" s="31" t="n">
        <v>0.0251</v>
      </c>
      <c r="G253" s="31" t="n">
        <v>0.5828</v>
      </c>
      <c r="H253" s="25" t="n">
        <v>971610.01</v>
      </c>
      <c r="I253" s="25" t="n">
        <v>14212.98</v>
      </c>
      <c r="J253" s="32" t="n">
        <f aca="false">F253*G253*H253</f>
        <v>14212.9832770828</v>
      </c>
      <c r="K253" s="32" t="n">
        <f aca="false">J253-I253</f>
        <v>0.00327708280019579</v>
      </c>
      <c r="L253" s="28" t="n">
        <f aca="false">IF(B253=1,12,IF(B253=2,MIN(MAX(D253,1),60),6))</f>
        <v>12</v>
      </c>
      <c r="M253" s="11" t="n">
        <f aca="false">IF(B253=3,1,IFERROR(INDEX(PD_TermStructure!$C$2:$C$241,MATCH(C253&amp;"|"&amp;L253,PD_TermStructure!$D$2:$D$241,0)),0))</f>
        <v>0.109872</v>
      </c>
      <c r="N253" s="22" t="n">
        <f aca="false">(1+E253/100)^(-(L253/12)/2)</f>
        <v>0.946221593006099</v>
      </c>
      <c r="O253" s="32" t="n">
        <f aca="false">IF(H253&lt;=0,0,M253*Assumptions!$B$3*H253*N253)</f>
        <v>41891.5467674549</v>
      </c>
      <c r="P253" s="25" t="n">
        <v>41891.55</v>
      </c>
      <c r="Q253" s="32" t="n">
        <f aca="false">O253-P253</f>
        <v>-0.00323254506656667</v>
      </c>
    </row>
    <row r="254" customFormat="false" ht="15" hidden="false" customHeight="false" outlineLevel="0" collapsed="false">
      <c r="A254" s="14" t="s">
        <v>423</v>
      </c>
      <c r="B254" s="14" t="n">
        <v>1</v>
      </c>
      <c r="C254" s="14" t="s">
        <v>154</v>
      </c>
      <c r="D254" s="14" t="n">
        <v>63</v>
      </c>
      <c r="E254" s="14" t="n">
        <v>8</v>
      </c>
      <c r="F254" s="31" t="n">
        <v>0.0237</v>
      </c>
      <c r="G254" s="31" t="n">
        <v>0.4087</v>
      </c>
      <c r="H254" s="25" t="n">
        <v>2740101.34</v>
      </c>
      <c r="I254" s="25" t="n">
        <v>26541.14</v>
      </c>
      <c r="J254" s="32" t="n">
        <f aca="false">F254*G254*H254</f>
        <v>26541.1421984946</v>
      </c>
      <c r="K254" s="32" t="n">
        <f aca="false">J254-I254</f>
        <v>0.00219849459608668</v>
      </c>
      <c r="L254" s="28" t="n">
        <f aca="false">IF(B254=1,12,IF(B254=2,MIN(MAX(D254,1),60),6))</f>
        <v>12</v>
      </c>
      <c r="M254" s="11" t="n">
        <f aca="false">IF(B254=3,1,IFERROR(INDEX(PD_TermStructure!$C$2:$C$241,MATCH(C254&amp;"|"&amp;L254,PD_TermStructure!$D$2:$D$241,0)),0))</f>
        <v>0.109872</v>
      </c>
      <c r="N254" s="22" t="n">
        <f aca="false">(1+E254/100)^(-(L254/12)/2)</f>
        <v>0.962250448649376</v>
      </c>
      <c r="O254" s="32" t="n">
        <f aca="false">IF(H254&lt;=0,0,M254*Assumptions!$B$3*H254*N254)</f>
        <v>120142.401442883</v>
      </c>
      <c r="P254" s="25" t="n">
        <v>120142.4</v>
      </c>
      <c r="Q254" s="32" t="n">
        <f aca="false">O254-P254</f>
        <v>0.00144288301817141</v>
      </c>
    </row>
    <row r="255" customFormat="false" ht="15" hidden="false" customHeight="false" outlineLevel="0" collapsed="false">
      <c r="A255" s="14" t="s">
        <v>424</v>
      </c>
      <c r="B255" s="14" t="n">
        <v>1</v>
      </c>
      <c r="C255" s="14" t="s">
        <v>154</v>
      </c>
      <c r="D255" s="14" t="n">
        <v>67</v>
      </c>
      <c r="E255" s="14" t="n">
        <v>10.54</v>
      </c>
      <c r="F255" s="31" t="n">
        <v>0.0173</v>
      </c>
      <c r="G255" s="31" t="n">
        <v>0.546</v>
      </c>
      <c r="H255" s="25" t="n">
        <v>601561.84</v>
      </c>
      <c r="I255" s="25" t="n">
        <v>5682.23</v>
      </c>
      <c r="J255" s="32" t="n">
        <f aca="false">F255*G255*H255</f>
        <v>5682.232828272</v>
      </c>
      <c r="K255" s="32" t="n">
        <f aca="false">J255-I255</f>
        <v>0.00282827200044267</v>
      </c>
      <c r="L255" s="28" t="n">
        <f aca="false">IF(B255=1,12,IF(B255=2,MIN(MAX(D255,1),60),6))</f>
        <v>12</v>
      </c>
      <c r="M255" s="11" t="n">
        <f aca="false">IF(B255=3,1,IFERROR(INDEX(PD_TermStructure!$C$2:$C$241,MATCH(C255&amp;"|"&amp;L255,PD_TermStructure!$D$2:$D$241,0)),0))</f>
        <v>0.109872</v>
      </c>
      <c r="N255" s="22" t="n">
        <f aca="false">(1+E255/100)^(-(L255/12)/2)</f>
        <v>0.951130853504664</v>
      </c>
      <c r="O255" s="32" t="n">
        <f aca="false">IF(H255&lt;=0,0,M255*Assumptions!$B$3*H255*N255)</f>
        <v>26071.2653645761</v>
      </c>
      <c r="P255" s="25" t="n">
        <v>26071.27</v>
      </c>
      <c r="Q255" s="32" t="n">
        <f aca="false">O255-P255</f>
        <v>-0.00463542388024507</v>
      </c>
    </row>
    <row r="256" customFormat="false" ht="15" hidden="false" customHeight="false" outlineLevel="0" collapsed="false">
      <c r="A256" s="14" t="s">
        <v>425</v>
      </c>
      <c r="B256" s="14" t="n">
        <v>1</v>
      </c>
      <c r="C256" s="14" t="s">
        <v>155</v>
      </c>
      <c r="D256" s="14" t="n">
        <v>66</v>
      </c>
      <c r="E256" s="14" t="n">
        <v>14.5</v>
      </c>
      <c r="F256" s="31" t="n">
        <v>0.023</v>
      </c>
      <c r="G256" s="31" t="n">
        <v>0.4122</v>
      </c>
      <c r="H256" s="25" t="n">
        <v>647342.78</v>
      </c>
      <c r="I256" s="25" t="n">
        <v>6137.2</v>
      </c>
      <c r="J256" s="32" t="n">
        <f aca="false">F256*G256*H256</f>
        <v>6137.197960068</v>
      </c>
      <c r="K256" s="32" t="n">
        <f aca="false">J256-I256</f>
        <v>-0.0020399319992066</v>
      </c>
      <c r="L256" s="28" t="n">
        <f aca="false">IF(B256=1,12,IF(B256=2,MIN(MAX(D256,1),60),6))</f>
        <v>12</v>
      </c>
      <c r="M256" s="11" t="n">
        <f aca="false">IF(B256=3,1,IFERROR(INDEX(PD_TermStructure!$C$2:$C$241,MATCH(C256&amp;"|"&amp;L256,PD_TermStructure!$D$2:$D$241,0)),0))</f>
        <v>0.164153</v>
      </c>
      <c r="N256" s="22" t="n">
        <f aca="false">(1+E256/100)^(-(L256/12)/2)</f>
        <v>0.934538627031996</v>
      </c>
      <c r="O256" s="32" t="n">
        <f aca="false">IF(H256&lt;=0,0,M256*Assumptions!$B$3*H256*N256)</f>
        <v>41184.6064646742</v>
      </c>
      <c r="P256" s="25" t="n">
        <v>41184.61</v>
      </c>
      <c r="Q256" s="32" t="n">
        <f aca="false">O256-P256</f>
        <v>-0.00353532579174498</v>
      </c>
    </row>
    <row r="257" customFormat="false" ht="15" hidden="false" customHeight="false" outlineLevel="0" collapsed="false">
      <c r="A257" s="14" t="s">
        <v>426</v>
      </c>
      <c r="B257" s="14" t="n">
        <v>1</v>
      </c>
      <c r="C257" s="14" t="s">
        <v>154</v>
      </c>
      <c r="D257" s="14" t="n">
        <v>12</v>
      </c>
      <c r="E257" s="14" t="n">
        <v>11.04</v>
      </c>
      <c r="F257" s="31" t="n">
        <v>0.0203</v>
      </c>
      <c r="G257" s="31" t="n">
        <v>0.6458</v>
      </c>
      <c r="H257" s="25" t="n">
        <v>116593.1</v>
      </c>
      <c r="I257" s="25" t="n">
        <v>1528.51</v>
      </c>
      <c r="J257" s="32" t="n">
        <f aca="false">F257*G257*H257</f>
        <v>1528.505226794</v>
      </c>
      <c r="K257" s="32" t="n">
        <f aca="false">J257-I257</f>
        <v>-0.00477320599998166</v>
      </c>
      <c r="L257" s="28" t="n">
        <f aca="false">IF(B257=1,12,IF(B257=2,MIN(MAX(D257,1),60),6))</f>
        <v>12</v>
      </c>
      <c r="M257" s="11" t="n">
        <f aca="false">IF(B257=3,1,IFERROR(INDEX(PD_TermStructure!$C$2:$C$241,MATCH(C257&amp;"|"&amp;L257,PD_TermStructure!$D$2:$D$241,0)),0))</f>
        <v>0.109872</v>
      </c>
      <c r="N257" s="22" t="n">
        <f aca="false">(1+E257/100)^(-(L257/12)/2)</f>
        <v>0.948987022501404</v>
      </c>
      <c r="O257" s="32" t="n">
        <f aca="false">IF(H257&lt;=0,0,M257*Assumptions!$B$3*H257*N257)</f>
        <v>5041.67311624077</v>
      </c>
      <c r="P257" s="25" t="n">
        <v>5041.67</v>
      </c>
      <c r="Q257" s="32" t="n">
        <f aca="false">O257-P257</f>
        <v>0.00311624076584849</v>
      </c>
    </row>
    <row r="258" customFormat="false" ht="15" hidden="false" customHeight="false" outlineLevel="0" collapsed="false">
      <c r="A258" s="14" t="s">
        <v>427</v>
      </c>
      <c r="B258" s="14" t="n">
        <v>1</v>
      </c>
      <c r="C258" s="14" t="s">
        <v>154</v>
      </c>
      <c r="D258" s="14" t="n">
        <v>15</v>
      </c>
      <c r="E258" s="14" t="n">
        <v>11.64</v>
      </c>
      <c r="F258" s="31" t="n">
        <v>0.0259</v>
      </c>
      <c r="G258" s="31" t="n">
        <v>0.559</v>
      </c>
      <c r="H258" s="25" t="n">
        <v>467288.11</v>
      </c>
      <c r="I258" s="25" t="n">
        <v>6765.44</v>
      </c>
      <c r="J258" s="32" t="n">
        <f aca="false">F258*G258*H258</f>
        <v>6765.443985391</v>
      </c>
      <c r="K258" s="32" t="n">
        <f aca="false">J258-I258</f>
        <v>0.00398539100024209</v>
      </c>
      <c r="L258" s="28" t="n">
        <f aca="false">IF(B258=1,12,IF(B258=2,MIN(MAX(D258,1),60),6))</f>
        <v>12</v>
      </c>
      <c r="M258" s="11" t="n">
        <f aca="false">IF(B258=3,1,IFERROR(INDEX(PD_TermStructure!$C$2:$C$241,MATCH(C258&amp;"|"&amp;L258,PD_TermStructure!$D$2:$D$241,0)),0))</f>
        <v>0.109872</v>
      </c>
      <c r="N258" s="22" t="n">
        <f aca="false">(1+E258/100)^(-(L258/12)/2)</f>
        <v>0.946433460542622</v>
      </c>
      <c r="O258" s="32" t="n">
        <f aca="false">IF(H258&lt;=0,0,M258*Assumptions!$B$3*H258*N258)</f>
        <v>20151.9175653226</v>
      </c>
      <c r="P258" s="25" t="n">
        <v>20151.92</v>
      </c>
      <c r="Q258" s="32" t="n">
        <f aca="false">O258-P258</f>
        <v>-0.00243467737527681</v>
      </c>
    </row>
    <row r="259" customFormat="false" ht="15" hidden="false" customHeight="false" outlineLevel="0" collapsed="false">
      <c r="A259" s="14" t="s">
        <v>428</v>
      </c>
      <c r="B259" s="14" t="n">
        <v>1</v>
      </c>
      <c r="C259" s="14" t="s">
        <v>154</v>
      </c>
      <c r="D259" s="14" t="n">
        <v>12</v>
      </c>
      <c r="E259" s="14" t="n">
        <v>9.81</v>
      </c>
      <c r="F259" s="31" t="n">
        <v>0.0151</v>
      </c>
      <c r="G259" s="31" t="n">
        <v>0.4547</v>
      </c>
      <c r="H259" s="25" t="n">
        <v>76191.43</v>
      </c>
      <c r="I259" s="25" t="n">
        <v>523.13</v>
      </c>
      <c r="J259" s="32" t="n">
        <f aca="false">F259*G259*H259</f>
        <v>523.1280726371</v>
      </c>
      <c r="K259" s="32" t="n">
        <f aca="false">J259-I259</f>
        <v>-0.00192736290000539</v>
      </c>
      <c r="L259" s="28" t="n">
        <f aca="false">IF(B259=1,12,IF(B259=2,MIN(MAX(D259,1),60),6))</f>
        <v>12</v>
      </c>
      <c r="M259" s="11" t="n">
        <f aca="false">IF(B259=3,1,IFERROR(INDEX(PD_TermStructure!$C$2:$C$241,MATCH(C259&amp;"|"&amp;L259,PD_TermStructure!$D$2:$D$241,0)),0))</f>
        <v>0.109872</v>
      </c>
      <c r="N259" s="22" t="n">
        <f aca="false">(1+E259/100)^(-(L259/12)/2)</f>
        <v>0.954287102482329</v>
      </c>
      <c r="O259" s="32" t="n">
        <f aca="false">IF(H259&lt;=0,0,M259*Assumptions!$B$3*H259*N259)</f>
        <v>3313.04046338082</v>
      </c>
      <c r="P259" s="25" t="n">
        <v>3313.04</v>
      </c>
      <c r="Q259" s="32" t="n">
        <f aca="false">O259-P259</f>
        <v>0.000463380817109282</v>
      </c>
    </row>
    <row r="260" customFormat="false" ht="15" hidden="false" customHeight="false" outlineLevel="0" collapsed="false">
      <c r="A260" s="14" t="s">
        <v>429</v>
      </c>
      <c r="B260" s="14" t="n">
        <v>1</v>
      </c>
      <c r="C260" s="14" t="s">
        <v>154</v>
      </c>
      <c r="D260" s="14" t="n">
        <v>53</v>
      </c>
      <c r="E260" s="14" t="n">
        <v>10.84</v>
      </c>
      <c r="F260" s="31" t="n">
        <v>0.0162</v>
      </c>
      <c r="G260" s="31" t="n">
        <v>0.6459</v>
      </c>
      <c r="H260" s="25" t="n">
        <v>835663.04</v>
      </c>
      <c r="I260" s="25" t="n">
        <v>8744.03</v>
      </c>
      <c r="J260" s="32" t="n">
        <f aca="false">F260*G260*H260</f>
        <v>8744.0270720832</v>
      </c>
      <c r="K260" s="32" t="n">
        <f aca="false">J260-I260</f>
        <v>-0.00292791679930815</v>
      </c>
      <c r="L260" s="28" t="n">
        <f aca="false">IF(B260=1,12,IF(B260=2,MIN(MAX(D260,1),60),6))</f>
        <v>12</v>
      </c>
      <c r="M260" s="11" t="n">
        <f aca="false">IF(B260=3,1,IFERROR(INDEX(PD_TermStructure!$C$2:$C$241,MATCH(C260&amp;"|"&amp;L260,PD_TermStructure!$D$2:$D$241,0)),0))</f>
        <v>0.109872</v>
      </c>
      <c r="N260" s="22" t="n">
        <f aca="false">(1+E260/100)^(-(L260/12)/2)</f>
        <v>0.949842814020343</v>
      </c>
      <c r="O260" s="32" t="n">
        <f aca="false">IF(H260&lt;=0,0,M260*Assumptions!$B$3*H260*N260)</f>
        <v>36168.0002543059</v>
      </c>
      <c r="P260" s="25" t="n">
        <v>36168</v>
      </c>
      <c r="Q260" s="32" t="n">
        <f aca="false">O260-P260</f>
        <v>0.000254305930866394</v>
      </c>
    </row>
    <row r="261" customFormat="false" ht="15" hidden="false" customHeight="false" outlineLevel="0" collapsed="false">
      <c r="A261" s="14" t="s">
        <v>430</v>
      </c>
      <c r="B261" s="14" t="n">
        <v>1</v>
      </c>
      <c r="C261" s="14" t="s">
        <v>154</v>
      </c>
      <c r="D261" s="14" t="n">
        <v>8</v>
      </c>
      <c r="E261" s="14" t="n">
        <v>14.11</v>
      </c>
      <c r="F261" s="31" t="n">
        <v>0.0226</v>
      </c>
      <c r="G261" s="31" t="n">
        <v>0.5608</v>
      </c>
      <c r="H261" s="25" t="n">
        <v>89115.09</v>
      </c>
      <c r="I261" s="25" t="n">
        <v>1129.45</v>
      </c>
      <c r="J261" s="32" t="n">
        <f aca="false">F261*G261*H261</f>
        <v>1129.4517798672</v>
      </c>
      <c r="K261" s="32" t="n">
        <f aca="false">J261-I261</f>
        <v>0.00177986719972978</v>
      </c>
      <c r="L261" s="28" t="n">
        <f aca="false">IF(B261=1,12,IF(B261=2,MIN(MAX(D261,1),60),6))</f>
        <v>12</v>
      </c>
      <c r="M261" s="11" t="n">
        <f aca="false">IF(B261=3,1,IFERROR(INDEX(PD_TermStructure!$C$2:$C$241,MATCH(C261&amp;"|"&amp;L261,PD_TermStructure!$D$2:$D$241,0)),0))</f>
        <v>0.109872</v>
      </c>
      <c r="N261" s="22" t="n">
        <f aca="false">(1+E261/100)^(-(L261/12)/2)</f>
        <v>0.936134276748298</v>
      </c>
      <c r="O261" s="32" t="n">
        <f aca="false">IF(H261&lt;=0,0,M261*Assumptions!$B$3*H261*N261)</f>
        <v>3801.28960946762</v>
      </c>
      <c r="P261" s="25" t="n">
        <v>3801.29</v>
      </c>
      <c r="Q261" s="32" t="n">
        <f aca="false">O261-P261</f>
        <v>-0.00039053237560438</v>
      </c>
    </row>
    <row r="262" customFormat="false" ht="15" hidden="false" customHeight="false" outlineLevel="0" collapsed="false">
      <c r="A262" s="14" t="s">
        <v>431</v>
      </c>
      <c r="B262" s="14" t="n">
        <v>1</v>
      </c>
      <c r="C262" s="14" t="s">
        <v>154</v>
      </c>
      <c r="D262" s="14" t="n">
        <v>17</v>
      </c>
      <c r="E262" s="14" t="n">
        <v>13.38</v>
      </c>
      <c r="F262" s="31" t="n">
        <v>0.014</v>
      </c>
      <c r="G262" s="31" t="n">
        <v>0.5394</v>
      </c>
      <c r="H262" s="25" t="n">
        <v>316153.52</v>
      </c>
      <c r="I262" s="25" t="n">
        <v>2387.46</v>
      </c>
      <c r="J262" s="32" t="n">
        <f aca="false">F262*G262*H262</f>
        <v>2387.464921632</v>
      </c>
      <c r="K262" s="32" t="n">
        <f aca="false">J262-I262</f>
        <v>0.00492163200033247</v>
      </c>
      <c r="L262" s="28" t="n">
        <f aca="false">IF(B262=1,12,IF(B262=2,MIN(MAX(D262,1),60),6))</f>
        <v>12</v>
      </c>
      <c r="M262" s="11" t="n">
        <f aca="false">IF(B262=3,1,IFERROR(INDEX(PD_TermStructure!$C$2:$C$241,MATCH(C262&amp;"|"&amp;L262,PD_TermStructure!$D$2:$D$241,0)),0))</f>
        <v>0.109872</v>
      </c>
      <c r="N262" s="22" t="n">
        <f aca="false">(1+E262/100)^(-(L262/12)/2)</f>
        <v>0.939143103535708</v>
      </c>
      <c r="O262" s="32" t="n">
        <f aca="false">IF(H262&lt;=0,0,M262*Assumptions!$B$3*H262*N262)</f>
        <v>13529.1763072526</v>
      </c>
      <c r="P262" s="25" t="n">
        <v>13529.18</v>
      </c>
      <c r="Q262" s="32" t="n">
        <f aca="false">O262-P262</f>
        <v>-0.00369274743934511</v>
      </c>
    </row>
    <row r="263" customFormat="false" ht="15" hidden="false" customHeight="false" outlineLevel="0" collapsed="false">
      <c r="A263" s="14" t="s">
        <v>432</v>
      </c>
      <c r="B263" s="14" t="n">
        <v>1</v>
      </c>
      <c r="C263" s="14" t="s">
        <v>154</v>
      </c>
      <c r="D263" s="14" t="n">
        <v>17</v>
      </c>
      <c r="E263" s="14" t="n">
        <v>9.59</v>
      </c>
      <c r="F263" s="31" t="n">
        <v>0.0167</v>
      </c>
      <c r="G263" s="31" t="n">
        <v>0.4686</v>
      </c>
      <c r="H263" s="25" t="n">
        <v>140070.25</v>
      </c>
      <c r="I263" s="25" t="n">
        <v>1096.14</v>
      </c>
      <c r="J263" s="32" t="n">
        <f aca="false">F263*G263*H263</f>
        <v>1096.136549805</v>
      </c>
      <c r="K263" s="32" t="n">
        <f aca="false">J263-I263</f>
        <v>-0.00345019500014132</v>
      </c>
      <c r="L263" s="28" t="n">
        <f aca="false">IF(B263=1,12,IF(B263=2,MIN(MAX(D263,1),60),6))</f>
        <v>12</v>
      </c>
      <c r="M263" s="11" t="n">
        <f aca="false">IF(B263=3,1,IFERROR(INDEX(PD_TermStructure!$C$2:$C$241,MATCH(C263&amp;"|"&amp;L263,PD_TermStructure!$D$2:$D$241,0)),0))</f>
        <v>0.109872</v>
      </c>
      <c r="N263" s="22" t="n">
        <f aca="false">(1+E263/100)^(-(L263/12)/2)</f>
        <v>0.955244479541684</v>
      </c>
      <c r="O263" s="32" t="n">
        <f aca="false">IF(H263&lt;=0,0,M263*Assumptions!$B$3*H263*N263)</f>
        <v>6096.80074230013</v>
      </c>
      <c r="P263" s="25" t="n">
        <v>6096.8</v>
      </c>
      <c r="Q263" s="32" t="n">
        <f aca="false">O263-P263</f>
        <v>0.000742300125239126</v>
      </c>
    </row>
    <row r="264" customFormat="false" ht="15" hidden="false" customHeight="false" outlineLevel="0" collapsed="false">
      <c r="A264" s="14" t="s">
        <v>433</v>
      </c>
      <c r="B264" s="14" t="n">
        <v>3</v>
      </c>
      <c r="C264" s="14" t="s">
        <v>189</v>
      </c>
      <c r="D264" s="14" t="n">
        <v>32</v>
      </c>
      <c r="E264" s="14" t="n">
        <v>8.27</v>
      </c>
      <c r="F264" s="31" t="n">
        <v>0.662</v>
      </c>
      <c r="G264" s="31" t="n">
        <v>0.6373</v>
      </c>
      <c r="H264" s="25" t="n">
        <v>484757.89</v>
      </c>
      <c r="I264" s="25" t="n">
        <v>204515.77</v>
      </c>
      <c r="J264" s="32" t="n">
        <f aca="false">F264*G264*H264</f>
        <v>204515.766582614</v>
      </c>
      <c r="K264" s="32" t="n">
        <f aca="false">J264-I264</f>
        <v>-0.00341738597489893</v>
      </c>
      <c r="L264" s="28" t="n">
        <f aca="false">IF(B264=1,12,IF(B264=2,MIN(MAX(D264,1),60),6))</f>
        <v>6</v>
      </c>
      <c r="M264" s="11" t="n">
        <f aca="false">IF(B264=3,1,IFERROR(INDEX(PD_TermStructure!$C$2:$C$241,MATCH(C264&amp;"|"&amp;L264,PD_TermStructure!$D$2:$D$241,0)),0))</f>
        <v>1</v>
      </c>
      <c r="N264" s="22" t="n">
        <f aca="false">(1+E264/100)^(-(L264/12)/2)</f>
        <v>0.980331518505256</v>
      </c>
      <c r="O264" s="32" t="n">
        <f aca="false">IF(H264&lt;=0,0,M264*Assumptions!$B$3*H264*N264)</f>
        <v>197084.460741538</v>
      </c>
      <c r="P264" s="25" t="n">
        <v>197084.46</v>
      </c>
      <c r="Q264" s="32" t="n">
        <f aca="false">O264-P264</f>
        <v>0.000741538155125454</v>
      </c>
    </row>
    <row r="265" customFormat="false" ht="15" hidden="false" customHeight="false" outlineLevel="0" collapsed="false">
      <c r="A265" s="14" t="s">
        <v>434</v>
      </c>
      <c r="B265" s="14" t="n">
        <v>1</v>
      </c>
      <c r="C265" s="14" t="s">
        <v>154</v>
      </c>
      <c r="D265" s="14" t="n">
        <v>14</v>
      </c>
      <c r="E265" s="14" t="n">
        <v>12.83</v>
      </c>
      <c r="F265" s="31" t="n">
        <v>0.0163</v>
      </c>
      <c r="G265" s="31" t="n">
        <v>0.6065</v>
      </c>
      <c r="H265" s="25" t="n">
        <v>550824.24</v>
      </c>
      <c r="I265" s="25" t="n">
        <v>5445.42</v>
      </c>
      <c r="J265" s="32" t="n">
        <f aca="false">F265*G265*H265</f>
        <v>5445.420895428</v>
      </c>
      <c r="K265" s="32" t="n">
        <f aca="false">J265-I265</f>
        <v>0.000895427999239473</v>
      </c>
      <c r="L265" s="28" t="n">
        <f aca="false">IF(B265=1,12,IF(B265=2,MIN(MAX(D265,1),60),6))</f>
        <v>12</v>
      </c>
      <c r="M265" s="11" t="n">
        <f aca="false">IF(B265=3,1,IFERROR(INDEX(PD_TermStructure!$C$2:$C$241,MATCH(C265&amp;"|"&amp;L265,PD_TermStructure!$D$2:$D$241,0)),0))</f>
        <v>0.109872</v>
      </c>
      <c r="N265" s="22" t="n">
        <f aca="false">(1+E265/100)^(-(L265/12)/2)</f>
        <v>0.941429289700968</v>
      </c>
      <c r="O265" s="32" t="n">
        <f aca="false">IF(H265&lt;=0,0,M265*Assumptions!$B$3*H265*N265)</f>
        <v>23628.835074804</v>
      </c>
      <c r="P265" s="25" t="n">
        <v>23628.84</v>
      </c>
      <c r="Q265" s="32" t="n">
        <f aca="false">O265-P265</f>
        <v>-0.00492519601175445</v>
      </c>
    </row>
    <row r="266" customFormat="false" ht="15" hidden="false" customHeight="false" outlineLevel="0" collapsed="false">
      <c r="A266" s="14" t="s">
        <v>435</v>
      </c>
      <c r="B266" s="14" t="n">
        <v>1</v>
      </c>
      <c r="C266" s="14" t="s">
        <v>154</v>
      </c>
      <c r="D266" s="14" t="n">
        <v>31</v>
      </c>
      <c r="E266" s="14" t="n">
        <v>9.85</v>
      </c>
      <c r="F266" s="31" t="n">
        <v>0.0192</v>
      </c>
      <c r="G266" s="31" t="n">
        <v>0.4257</v>
      </c>
      <c r="H266" s="25" t="n">
        <v>594472.74</v>
      </c>
      <c r="I266" s="25" t="n">
        <v>4858.89</v>
      </c>
      <c r="J266" s="32" t="n">
        <f aca="false">F266*G266*H266</f>
        <v>4858.8872720256</v>
      </c>
      <c r="K266" s="32" t="n">
        <f aca="false">J266-I266</f>
        <v>-0.00272797439993155</v>
      </c>
      <c r="L266" s="28" t="n">
        <f aca="false">IF(B266=1,12,IF(B266=2,MIN(MAX(D266,1),60),6))</f>
        <v>12</v>
      </c>
      <c r="M266" s="11" t="n">
        <f aca="false">IF(B266=3,1,IFERROR(INDEX(PD_TermStructure!$C$2:$C$241,MATCH(C266&amp;"|"&amp;L266,PD_TermStructure!$D$2:$D$241,0)),0))</f>
        <v>0.109872</v>
      </c>
      <c r="N266" s="22" t="n">
        <f aca="false">(1+E266/100)^(-(L266/12)/2)</f>
        <v>0.954113342993911</v>
      </c>
      <c r="O266" s="32" t="n">
        <f aca="false">IF(H266&lt;=0,0,M266*Assumptions!$B$3*H266*N266)</f>
        <v>25844.8178126795</v>
      </c>
      <c r="P266" s="25" t="n">
        <v>25844.82</v>
      </c>
      <c r="Q266" s="32" t="n">
        <f aca="false">O266-P266</f>
        <v>-0.00218732055145665</v>
      </c>
    </row>
    <row r="267" customFormat="false" ht="15" hidden="false" customHeight="false" outlineLevel="0" collapsed="false">
      <c r="A267" s="14" t="s">
        <v>436</v>
      </c>
      <c r="B267" s="14" t="n">
        <v>1</v>
      </c>
      <c r="C267" s="14" t="s">
        <v>154</v>
      </c>
      <c r="D267" s="14" t="n">
        <v>47</v>
      </c>
      <c r="E267" s="14" t="n">
        <v>10.1</v>
      </c>
      <c r="F267" s="31" t="n">
        <v>0.0176</v>
      </c>
      <c r="G267" s="31" t="n">
        <v>0.4923</v>
      </c>
      <c r="H267" s="25" t="n">
        <v>1310564.25</v>
      </c>
      <c r="I267" s="25" t="n">
        <v>11355.36</v>
      </c>
      <c r="J267" s="32" t="n">
        <f aca="false">F267*G267*H267</f>
        <v>11355.35773284</v>
      </c>
      <c r="K267" s="32" t="n">
        <f aca="false">J267-I267</f>
        <v>-0.00226715999997396</v>
      </c>
      <c r="L267" s="28" t="n">
        <f aca="false">IF(B267=1,12,IF(B267=2,MIN(MAX(D267,1),60),6))</f>
        <v>12</v>
      </c>
      <c r="M267" s="11" t="n">
        <f aca="false">IF(B267=3,1,IFERROR(INDEX(PD_TermStructure!$C$2:$C$241,MATCH(C267&amp;"|"&amp;L267,PD_TermStructure!$D$2:$D$241,0)),0))</f>
        <v>0.109872</v>
      </c>
      <c r="N267" s="22" t="n">
        <f aca="false">(1+E267/100)^(-(L267/12)/2)</f>
        <v>0.953029492430494</v>
      </c>
      <c r="O267" s="32" t="n">
        <f aca="false">IF(H267&lt;=0,0,M267*Assumptions!$B$3*H267*N267)</f>
        <v>56912.3106816772</v>
      </c>
      <c r="P267" s="25" t="n">
        <v>56912.31</v>
      </c>
      <c r="Q267" s="32" t="n">
        <f aca="false">O267-P267</f>
        <v>0.000681677229295019</v>
      </c>
    </row>
    <row r="268" customFormat="false" ht="15" hidden="false" customHeight="false" outlineLevel="0" collapsed="false">
      <c r="A268" s="14" t="s">
        <v>437</v>
      </c>
      <c r="B268" s="14" t="n">
        <v>3</v>
      </c>
      <c r="C268" s="14" t="s">
        <v>189</v>
      </c>
      <c r="D268" s="14" t="n">
        <v>64</v>
      </c>
      <c r="E268" s="14" t="n">
        <v>11.17</v>
      </c>
      <c r="F268" s="31" t="n">
        <v>0.7994</v>
      </c>
      <c r="G268" s="31" t="n">
        <v>0.4314</v>
      </c>
      <c r="H268" s="25" t="n">
        <v>655802.31</v>
      </c>
      <c r="I268" s="25" t="n">
        <v>226160.75</v>
      </c>
      <c r="J268" s="32" t="n">
        <f aca="false">F268*G268*H268</f>
        <v>226160.74535728</v>
      </c>
      <c r="K268" s="32" t="n">
        <f aca="false">J268-I268</f>
        <v>-0.00464272039243951</v>
      </c>
      <c r="L268" s="28" t="n">
        <f aca="false">IF(B268=1,12,IF(B268=2,MIN(MAX(D268,1),60),6))</f>
        <v>6</v>
      </c>
      <c r="M268" s="11" t="n">
        <f aca="false">IF(B268=3,1,IFERROR(INDEX(PD_TermStructure!$C$2:$C$241,MATCH(C268&amp;"|"&amp;L268,PD_TermStructure!$D$2:$D$241,0)),0))</f>
        <v>1</v>
      </c>
      <c r="N268" s="22" t="n">
        <f aca="false">(1+E268/100)^(-(L268/12)/2)</f>
        <v>0.973874733661543</v>
      </c>
      <c r="O268" s="32" t="n">
        <f aca="false">IF(H268&lt;=0,0,M268*Assumptions!$B$3*H268*N268)</f>
        <v>264868.658416219</v>
      </c>
      <c r="P268" s="25" t="n">
        <v>264868.66</v>
      </c>
      <c r="Q268" s="32" t="n">
        <f aca="false">O268-P268</f>
        <v>-0.00158378074411303</v>
      </c>
    </row>
    <row r="269" customFormat="false" ht="15" hidden="false" customHeight="false" outlineLevel="0" collapsed="false">
      <c r="A269" s="14" t="s">
        <v>438</v>
      </c>
      <c r="B269" s="14" t="n">
        <v>1</v>
      </c>
      <c r="C269" s="14" t="s">
        <v>154</v>
      </c>
      <c r="D269" s="14" t="n">
        <v>38</v>
      </c>
      <c r="E269" s="14" t="n">
        <v>9.07</v>
      </c>
      <c r="F269" s="31" t="n">
        <v>0.0179</v>
      </c>
      <c r="G269" s="31" t="n">
        <v>0.6339</v>
      </c>
      <c r="H269" s="25" t="n">
        <v>1742883.15</v>
      </c>
      <c r="I269" s="25" t="n">
        <v>19776.16</v>
      </c>
      <c r="J269" s="32" t="n">
        <f aca="false">F269*G269*H269</f>
        <v>19776.1639552515</v>
      </c>
      <c r="K269" s="32" t="n">
        <f aca="false">J269-I269</f>
        <v>0.00395525150088361</v>
      </c>
      <c r="L269" s="28" t="n">
        <f aca="false">IF(B269=1,12,IF(B269=2,MIN(MAX(D269,1),60),6))</f>
        <v>12</v>
      </c>
      <c r="M269" s="11" t="n">
        <f aca="false">IF(B269=3,1,IFERROR(INDEX(PD_TermStructure!$C$2:$C$241,MATCH(C269&amp;"|"&amp;L269,PD_TermStructure!$D$2:$D$241,0)),0))</f>
        <v>0.109872</v>
      </c>
      <c r="N269" s="22" t="n">
        <f aca="false">(1+E269/100)^(-(L269/12)/2)</f>
        <v>0.957518874379161</v>
      </c>
      <c r="O269" s="32" t="n">
        <f aca="false">IF(H269&lt;=0,0,M269*Assumptions!$B$3*H269*N269)</f>
        <v>76042.6382143202</v>
      </c>
      <c r="P269" s="25" t="n">
        <v>76042.64</v>
      </c>
      <c r="Q269" s="32" t="n">
        <f aca="false">O269-P269</f>
        <v>-0.0017856798513094</v>
      </c>
    </row>
    <row r="270" customFormat="false" ht="15" hidden="false" customHeight="false" outlineLevel="0" collapsed="false">
      <c r="A270" s="14" t="s">
        <v>439</v>
      </c>
      <c r="B270" s="14" t="n">
        <v>1</v>
      </c>
      <c r="C270" s="14" t="s">
        <v>155</v>
      </c>
      <c r="D270" s="14" t="n">
        <v>39</v>
      </c>
      <c r="E270" s="14" t="n">
        <v>12.1</v>
      </c>
      <c r="F270" s="31" t="n">
        <v>0.0184</v>
      </c>
      <c r="G270" s="31" t="n">
        <v>0.6207</v>
      </c>
      <c r="H270" s="25" t="n">
        <v>576896.11</v>
      </c>
      <c r="I270" s="25" t="n">
        <v>6588.66</v>
      </c>
      <c r="J270" s="32" t="n">
        <f aca="false">F270*G270*H270</f>
        <v>6588.6612447768</v>
      </c>
      <c r="K270" s="32" t="n">
        <f aca="false">J270-I270</f>
        <v>0.00124477679946722</v>
      </c>
      <c r="L270" s="28" t="n">
        <f aca="false">IF(B270=1,12,IF(B270=2,MIN(MAX(D270,1),60),6))</f>
        <v>12</v>
      </c>
      <c r="M270" s="11" t="n">
        <f aca="false">IF(B270=3,1,IFERROR(INDEX(PD_TermStructure!$C$2:$C$241,MATCH(C270&amp;"|"&amp;L270,PD_TermStructure!$D$2:$D$241,0)),0))</f>
        <v>0.164153</v>
      </c>
      <c r="N270" s="22" t="n">
        <f aca="false">(1+E270/100)^(-(L270/12)/2)</f>
        <v>0.944489629442742</v>
      </c>
      <c r="O270" s="32" t="n">
        <f aca="false">IF(H270&lt;=0,0,M270*Assumptions!$B$3*H270*N270)</f>
        <v>37093.5295418418</v>
      </c>
      <c r="P270" s="25" t="n">
        <v>37093.53</v>
      </c>
      <c r="Q270" s="32" t="n">
        <f aca="false">O270-P270</f>
        <v>-0.000458158159744926</v>
      </c>
    </row>
    <row r="271" customFormat="false" ht="15" hidden="false" customHeight="false" outlineLevel="0" collapsed="false">
      <c r="A271" s="14" t="s">
        <v>440</v>
      </c>
      <c r="B271" s="14" t="n">
        <v>1</v>
      </c>
      <c r="C271" s="14" t="s">
        <v>154</v>
      </c>
      <c r="D271" s="14" t="n">
        <v>15</v>
      </c>
      <c r="E271" s="14" t="n">
        <v>7.99</v>
      </c>
      <c r="F271" s="31" t="n">
        <v>0.0157</v>
      </c>
      <c r="G271" s="31" t="n">
        <v>0.5382</v>
      </c>
      <c r="H271" s="25" t="n">
        <v>417545.19</v>
      </c>
      <c r="I271" s="25" t="n">
        <v>3528.15</v>
      </c>
      <c r="J271" s="32" t="n">
        <f aca="false">F271*G271*H271</f>
        <v>3528.1482937506</v>
      </c>
      <c r="K271" s="32" t="n">
        <f aca="false">J271-I271</f>
        <v>-0.00170624940028574</v>
      </c>
      <c r="L271" s="28" t="n">
        <f aca="false">IF(B271=1,12,IF(B271=2,MIN(MAX(D271,1),60),6))</f>
        <v>12</v>
      </c>
      <c r="M271" s="11" t="n">
        <f aca="false">IF(B271=3,1,IFERROR(INDEX(PD_TermStructure!$C$2:$C$241,MATCH(C271&amp;"|"&amp;L271,PD_TermStructure!$D$2:$D$241,0)),0))</f>
        <v>0.109872</v>
      </c>
      <c r="N271" s="22" t="n">
        <f aca="false">(1+E271/100)^(-(L271/12)/2)</f>
        <v>0.962295000375152</v>
      </c>
      <c r="O271" s="32" t="n">
        <f aca="false">IF(H271&lt;=0,0,M271*Assumptions!$B$3*H271*N271)</f>
        <v>18308.5215552837</v>
      </c>
      <c r="P271" s="25" t="n">
        <v>18308.52</v>
      </c>
      <c r="Q271" s="32" t="n">
        <f aca="false">O271-P271</f>
        <v>0.00155528366667568</v>
      </c>
    </row>
    <row r="272" customFormat="false" ht="15" hidden="false" customHeight="false" outlineLevel="0" collapsed="false">
      <c r="A272" s="14" t="s">
        <v>441</v>
      </c>
      <c r="B272" s="14" t="n">
        <v>1</v>
      </c>
      <c r="C272" s="14" t="s">
        <v>154</v>
      </c>
      <c r="D272" s="14" t="n">
        <v>20</v>
      </c>
      <c r="E272" s="14" t="n">
        <v>9.82</v>
      </c>
      <c r="F272" s="31" t="n">
        <v>0.0182</v>
      </c>
      <c r="G272" s="31" t="n">
        <v>0.4361</v>
      </c>
      <c r="H272" s="25" t="n">
        <v>479416.19</v>
      </c>
      <c r="I272" s="25" t="n">
        <v>3805.14</v>
      </c>
      <c r="J272" s="32" t="n">
        <f aca="false">F272*G272*H272</f>
        <v>3805.1358883538</v>
      </c>
      <c r="K272" s="32" t="n">
        <f aca="false">J272-I272</f>
        <v>-0.00411164620027193</v>
      </c>
      <c r="L272" s="28" t="n">
        <f aca="false">IF(B272=1,12,IF(B272=2,MIN(MAX(D272,1),60),6))</f>
        <v>12</v>
      </c>
      <c r="M272" s="11" t="n">
        <f aca="false">IF(B272=3,1,IFERROR(INDEX(PD_TermStructure!$C$2:$C$241,MATCH(C272&amp;"|"&amp;L272,PD_TermStructure!$D$2:$D$241,0)),0))</f>
        <v>0.109872</v>
      </c>
      <c r="N272" s="22" t="n">
        <f aca="false">(1+E272/100)^(-(L272/12)/2)</f>
        <v>0.954243653710368</v>
      </c>
      <c r="O272" s="32" t="n">
        <f aca="false">IF(H272&lt;=0,0,M272*Assumptions!$B$3*H272*N272)</f>
        <v>20845.5586105734</v>
      </c>
      <c r="P272" s="25" t="n">
        <v>20845.56</v>
      </c>
      <c r="Q272" s="32" t="n">
        <f aca="false">O272-P272</f>
        <v>-0.0013894266448915</v>
      </c>
    </row>
    <row r="273" customFormat="false" ht="15" hidden="false" customHeight="false" outlineLevel="0" collapsed="false">
      <c r="A273" s="14" t="s">
        <v>442</v>
      </c>
      <c r="B273" s="14" t="n">
        <v>1</v>
      </c>
      <c r="C273" s="14" t="s">
        <v>154</v>
      </c>
      <c r="D273" s="14" t="n">
        <v>0</v>
      </c>
      <c r="E273" s="14" t="n">
        <v>10.02</v>
      </c>
      <c r="F273" s="31" t="n">
        <v>0.0219</v>
      </c>
      <c r="G273" s="31" t="n">
        <v>0.6299</v>
      </c>
      <c r="H273" s="25" t="n">
        <v>0</v>
      </c>
      <c r="I273" s="25" t="n">
        <v>0</v>
      </c>
      <c r="J273" s="32" t="n">
        <f aca="false">F273*G273*H273</f>
        <v>0</v>
      </c>
      <c r="K273" s="32" t="n">
        <f aca="false">J273-I273</f>
        <v>0</v>
      </c>
      <c r="L273" s="28" t="n">
        <f aca="false">IF(B273=1,12,IF(B273=2,MIN(MAX(D273,1),60),6))</f>
        <v>12</v>
      </c>
      <c r="M273" s="11" t="n">
        <f aca="false">IF(B273=3,1,IFERROR(INDEX(PD_TermStructure!$C$2:$C$241,MATCH(C273&amp;"|"&amp;L273,PD_TermStructure!$D$2:$D$241,0)),0))</f>
        <v>0.109872</v>
      </c>
      <c r="N273" s="22" t="n">
        <f aca="false">(1+E273/100)^(-(L273/12)/2)</f>
        <v>0.953375922646382</v>
      </c>
      <c r="O273" s="32" t="n">
        <f aca="false">IF(H273&lt;=0,0,M273*Assumptions!$B$3*H273*N273)</f>
        <v>0</v>
      </c>
      <c r="P273" s="25" t="n">
        <v>0</v>
      </c>
      <c r="Q273" s="32" t="n">
        <f aca="false">O273-P273</f>
        <v>0</v>
      </c>
    </row>
    <row r="274" customFormat="false" ht="15" hidden="false" customHeight="false" outlineLevel="0" collapsed="false">
      <c r="A274" s="14" t="s">
        <v>443</v>
      </c>
      <c r="B274" s="14" t="n">
        <v>1</v>
      </c>
      <c r="C274" s="14" t="s">
        <v>154</v>
      </c>
      <c r="D274" s="14" t="n">
        <v>36</v>
      </c>
      <c r="E274" s="14" t="n">
        <v>14.22</v>
      </c>
      <c r="F274" s="31" t="n">
        <v>0.0186</v>
      </c>
      <c r="G274" s="31" t="n">
        <v>0.5148</v>
      </c>
      <c r="H274" s="25" t="n">
        <v>927874.36</v>
      </c>
      <c r="I274" s="25" t="n">
        <v>8884.66</v>
      </c>
      <c r="J274" s="32" t="n">
        <f aca="false">F274*G274*H274</f>
        <v>8884.6568018208</v>
      </c>
      <c r="K274" s="32" t="n">
        <f aca="false">J274-I274</f>
        <v>-0.00319817919989873</v>
      </c>
      <c r="L274" s="28" t="n">
        <f aca="false">IF(B274=1,12,IF(B274=2,MIN(MAX(D274,1),60),6))</f>
        <v>12</v>
      </c>
      <c r="M274" s="11" t="n">
        <f aca="false">IF(B274=3,1,IFERROR(INDEX(PD_TermStructure!$C$2:$C$241,MATCH(C274&amp;"|"&amp;L274,PD_TermStructure!$D$2:$D$241,0)),0))</f>
        <v>0.109872</v>
      </c>
      <c r="N274" s="22" t="n">
        <f aca="false">(1+E274/100)^(-(L274/12)/2)</f>
        <v>0.935683394350523</v>
      </c>
      <c r="O274" s="32" t="n">
        <f aca="false">IF(H274&lt;=0,0,M274*Assumptions!$B$3*H274*N274)</f>
        <v>39560.3073707284</v>
      </c>
      <c r="P274" s="25" t="n">
        <v>39560.31</v>
      </c>
      <c r="Q274" s="32" t="n">
        <f aca="false">O274-P274</f>
        <v>-0.00262927157018567</v>
      </c>
    </row>
    <row r="275" customFormat="false" ht="15" hidden="false" customHeight="false" outlineLevel="0" collapsed="false">
      <c r="A275" s="14" t="s">
        <v>444</v>
      </c>
      <c r="B275" s="14" t="n">
        <v>1</v>
      </c>
      <c r="C275" s="14" t="s">
        <v>154</v>
      </c>
      <c r="D275" s="14" t="n">
        <v>53</v>
      </c>
      <c r="E275" s="14" t="n">
        <v>10.82</v>
      </c>
      <c r="F275" s="31" t="n">
        <v>0.0154</v>
      </c>
      <c r="G275" s="31" t="n">
        <v>0.5587</v>
      </c>
      <c r="H275" s="25" t="n">
        <v>705442.96</v>
      </c>
      <c r="I275" s="25" t="n">
        <v>6069.62</v>
      </c>
      <c r="J275" s="32" t="n">
        <f aca="false">F275*G275*H275</f>
        <v>6069.6171189808</v>
      </c>
      <c r="K275" s="32" t="n">
        <f aca="false">J275-I275</f>
        <v>-0.00288101919977635</v>
      </c>
      <c r="L275" s="28" t="n">
        <f aca="false">IF(B275=1,12,IF(B275=2,MIN(MAX(D275,1),60),6))</f>
        <v>12</v>
      </c>
      <c r="M275" s="11" t="n">
        <f aca="false">IF(B275=3,1,IFERROR(INDEX(PD_TermStructure!$C$2:$C$241,MATCH(C275&amp;"|"&amp;L275,PD_TermStructure!$D$2:$D$241,0)),0))</f>
        <v>0.109872</v>
      </c>
      <c r="N275" s="22" t="n">
        <f aca="false">(1+E275/100)^(-(L275/12)/2)</f>
        <v>0.94992852056814</v>
      </c>
      <c r="O275" s="32" t="n">
        <f aca="false">IF(H275&lt;=0,0,M275*Assumptions!$B$3*H275*N275)</f>
        <v>30534.7516463439</v>
      </c>
      <c r="P275" s="25" t="n">
        <v>30534.75</v>
      </c>
      <c r="Q275" s="32" t="n">
        <f aca="false">O275-P275</f>
        <v>0.00164634385146201</v>
      </c>
    </row>
    <row r="276" customFormat="false" ht="15" hidden="false" customHeight="false" outlineLevel="0" collapsed="false">
      <c r="A276" s="14" t="s">
        <v>445</v>
      </c>
      <c r="B276" s="14" t="n">
        <v>1</v>
      </c>
      <c r="C276" s="14" t="s">
        <v>154</v>
      </c>
      <c r="D276" s="14" t="n">
        <v>8</v>
      </c>
      <c r="E276" s="14" t="n">
        <v>8.04</v>
      </c>
      <c r="F276" s="31" t="n">
        <v>0.0213</v>
      </c>
      <c r="G276" s="31" t="n">
        <v>0.4021</v>
      </c>
      <c r="H276" s="25" t="n">
        <v>51071.03</v>
      </c>
      <c r="I276" s="25" t="n">
        <v>437.41</v>
      </c>
      <c r="J276" s="32" t="n">
        <f aca="false">F276*G276*H276</f>
        <v>437.4095827719</v>
      </c>
      <c r="K276" s="32" t="n">
        <f aca="false">J276-I276</f>
        <v>-0.000417228100047851</v>
      </c>
      <c r="L276" s="28" t="n">
        <f aca="false">IF(B276=1,12,IF(B276=2,MIN(MAX(D276,1),60),6))</f>
        <v>12</v>
      </c>
      <c r="M276" s="11" t="n">
        <f aca="false">IF(B276=3,1,IFERROR(INDEX(PD_TermStructure!$C$2:$C$241,MATCH(C276&amp;"|"&amp;L276,PD_TermStructure!$D$2:$D$241,0)),0))</f>
        <v>0.109872</v>
      </c>
      <c r="N276" s="22" t="n">
        <f aca="false">(1+E276/100)^(-(L276/12)/2)</f>
        <v>0.962072303605056</v>
      </c>
      <c r="O276" s="32" t="n">
        <f aca="false">IF(H276&lt;=0,0,M276*Assumptions!$B$3*H276*N276)</f>
        <v>2238.84429228377</v>
      </c>
      <c r="P276" s="25" t="n">
        <v>2238.84</v>
      </c>
      <c r="Q276" s="32" t="n">
        <f aca="false">O276-P276</f>
        <v>0.00429228377106483</v>
      </c>
    </row>
    <row r="277" customFormat="false" ht="15" hidden="false" customHeight="false" outlineLevel="0" collapsed="false">
      <c r="A277" s="14" t="s">
        <v>446</v>
      </c>
      <c r="B277" s="14" t="n">
        <v>1</v>
      </c>
      <c r="C277" s="14" t="s">
        <v>155</v>
      </c>
      <c r="D277" s="14" t="n">
        <v>60</v>
      </c>
      <c r="E277" s="14" t="n">
        <v>14.35</v>
      </c>
      <c r="F277" s="31" t="n">
        <v>0.0163</v>
      </c>
      <c r="G277" s="31" t="n">
        <v>0.3825</v>
      </c>
      <c r="H277" s="25" t="n">
        <v>476698.33</v>
      </c>
      <c r="I277" s="25" t="n">
        <v>2972.09</v>
      </c>
      <c r="J277" s="32" t="n">
        <f aca="false">F277*G277*H277</f>
        <v>2972.0949129675</v>
      </c>
      <c r="K277" s="32" t="n">
        <f aca="false">J277-I277</f>
        <v>0.00491296749987669</v>
      </c>
      <c r="L277" s="28" t="n">
        <f aca="false">IF(B277=1,12,IF(B277=2,MIN(MAX(D277,1),60),6))</f>
        <v>12</v>
      </c>
      <c r="M277" s="11" t="n">
        <f aca="false">IF(B277=3,1,IFERROR(INDEX(PD_TermStructure!$C$2:$C$241,MATCH(C277&amp;"|"&amp;L277,PD_TermStructure!$D$2:$D$241,0)),0))</f>
        <v>0.164153</v>
      </c>
      <c r="N277" s="22" t="n">
        <f aca="false">(1+E277/100)^(-(L277/12)/2)</f>
        <v>0.935151372345582</v>
      </c>
      <c r="O277" s="32" t="n">
        <f aca="false">IF(H277&lt;=0,0,M277*Assumptions!$B$3*H277*N277)</f>
        <v>30347.9179543194</v>
      </c>
      <c r="P277" s="25" t="n">
        <v>30347.92</v>
      </c>
      <c r="Q277" s="32" t="n">
        <f aca="false">O277-P277</f>
        <v>-0.00204568063054467</v>
      </c>
    </row>
    <row r="278" customFormat="false" ht="15" hidden="false" customHeight="false" outlineLevel="0" collapsed="false">
      <c r="A278" s="14" t="s">
        <v>447</v>
      </c>
      <c r="B278" s="14" t="n">
        <v>3</v>
      </c>
      <c r="C278" s="14" t="s">
        <v>189</v>
      </c>
      <c r="D278" s="14" t="n">
        <v>0</v>
      </c>
      <c r="E278" s="14" t="n">
        <v>9.18</v>
      </c>
      <c r="F278" s="31" t="n">
        <v>0.764</v>
      </c>
      <c r="G278" s="31" t="n">
        <v>0.619</v>
      </c>
      <c r="H278" s="25" t="n">
        <v>0</v>
      </c>
      <c r="I278" s="25" t="n">
        <v>0</v>
      </c>
      <c r="J278" s="32" t="n">
        <f aca="false">F278*G278*H278</f>
        <v>0</v>
      </c>
      <c r="K278" s="32" t="n">
        <f aca="false">J278-I278</f>
        <v>0</v>
      </c>
      <c r="L278" s="28" t="n">
        <f aca="false">IF(B278=1,12,IF(B278=2,MIN(MAX(D278,1),60),6))</f>
        <v>6</v>
      </c>
      <c r="M278" s="11" t="n">
        <f aca="false">IF(B278=3,1,IFERROR(INDEX(PD_TermStructure!$C$2:$C$241,MATCH(C278&amp;"|"&amp;L278,PD_TermStructure!$D$2:$D$241,0)),0))</f>
        <v>1</v>
      </c>
      <c r="N278" s="22" t="n">
        <f aca="false">(1+E278/100)^(-(L278/12)/2)</f>
        <v>0.978282371121787</v>
      </c>
      <c r="O278" s="32" t="n">
        <f aca="false">IF(H278&lt;=0,0,M278*Assumptions!$B$3*H278*N278)</f>
        <v>0</v>
      </c>
      <c r="P278" s="25" t="n">
        <v>0</v>
      </c>
      <c r="Q278" s="32" t="n">
        <f aca="false">O278-P278</f>
        <v>0</v>
      </c>
    </row>
    <row r="279" customFormat="false" ht="15" hidden="false" customHeight="false" outlineLevel="0" collapsed="false">
      <c r="A279" s="14" t="s">
        <v>448</v>
      </c>
      <c r="B279" s="14" t="n">
        <v>1</v>
      </c>
      <c r="C279" s="14" t="s">
        <v>154</v>
      </c>
      <c r="D279" s="14" t="n">
        <v>5</v>
      </c>
      <c r="E279" s="14" t="n">
        <v>13.69</v>
      </c>
      <c r="F279" s="31" t="n">
        <v>0.0169</v>
      </c>
      <c r="G279" s="31" t="n">
        <v>0.6491</v>
      </c>
      <c r="H279" s="25" t="n">
        <v>90930.46</v>
      </c>
      <c r="I279" s="25" t="n">
        <v>997.49</v>
      </c>
      <c r="J279" s="32" t="n">
        <f aca="false">F279*G279*H279</f>
        <v>997.4880508034</v>
      </c>
      <c r="K279" s="32" t="n">
        <f aca="false">J279-I279</f>
        <v>-0.00194919660009418</v>
      </c>
      <c r="L279" s="28" t="n">
        <f aca="false">IF(B279=1,12,IF(B279=2,MIN(MAX(D279,1),60),6))</f>
        <v>12</v>
      </c>
      <c r="M279" s="11" t="n">
        <f aca="false">IF(B279=3,1,IFERROR(INDEX(PD_TermStructure!$C$2:$C$241,MATCH(C279&amp;"|"&amp;L279,PD_TermStructure!$D$2:$D$241,0)),0))</f>
        <v>0.109872</v>
      </c>
      <c r="N279" s="22" t="n">
        <f aca="false">(1+E279/100)^(-(L279/12)/2)</f>
        <v>0.937861842681228</v>
      </c>
      <c r="O279" s="32" t="n">
        <f aca="false">IF(H279&lt;=0,0,M279*Assumptions!$B$3*H279*N279)</f>
        <v>3885.8838566736</v>
      </c>
      <c r="P279" s="25" t="n">
        <v>3885.88</v>
      </c>
      <c r="Q279" s="32" t="n">
        <f aca="false">O279-P279</f>
        <v>0.00385667360114894</v>
      </c>
    </row>
    <row r="280" customFormat="false" ht="15" hidden="false" customHeight="false" outlineLevel="0" collapsed="false">
      <c r="A280" s="14" t="s">
        <v>449</v>
      </c>
      <c r="B280" s="14" t="n">
        <v>1</v>
      </c>
      <c r="C280" s="14" t="s">
        <v>154</v>
      </c>
      <c r="D280" s="14" t="n">
        <v>23</v>
      </c>
      <c r="E280" s="14" t="n">
        <v>7.98</v>
      </c>
      <c r="F280" s="31" t="n">
        <v>0.0193</v>
      </c>
      <c r="G280" s="31" t="n">
        <v>0.5037</v>
      </c>
      <c r="H280" s="25" t="n">
        <v>744140.46</v>
      </c>
      <c r="I280" s="25" t="n">
        <v>7234.09</v>
      </c>
      <c r="J280" s="32" t="n">
        <f aca="false">F280*G280*H280</f>
        <v>7234.0945092486</v>
      </c>
      <c r="K280" s="32" t="n">
        <f aca="false">J280-I280</f>
        <v>0.0045092486006979</v>
      </c>
      <c r="L280" s="28" t="n">
        <f aca="false">IF(B280=1,12,IF(B280=2,MIN(MAX(D280,1),60),6))</f>
        <v>12</v>
      </c>
      <c r="M280" s="11" t="n">
        <f aca="false">IF(B280=3,1,IFERROR(INDEX(PD_TermStructure!$C$2:$C$241,MATCH(C280&amp;"|"&amp;L280,PD_TermStructure!$D$2:$D$241,0)),0))</f>
        <v>0.109872</v>
      </c>
      <c r="N280" s="22" t="n">
        <f aca="false">(1+E280/100)^(-(L280/12)/2)</f>
        <v>0.96233955828967</v>
      </c>
      <c r="O280" s="32" t="n">
        <f aca="false">IF(H280&lt;=0,0,M280*Assumptions!$B$3*H280*N280)</f>
        <v>32630.5818543847</v>
      </c>
      <c r="P280" s="25" t="n">
        <v>32630.58</v>
      </c>
      <c r="Q280" s="32" t="n">
        <f aca="false">O280-P280</f>
        <v>0.00185438471817179</v>
      </c>
    </row>
    <row r="281" customFormat="false" ht="15" hidden="false" customHeight="false" outlineLevel="0" collapsed="false">
      <c r="A281" s="14" t="s">
        <v>450</v>
      </c>
      <c r="B281" s="14" t="n">
        <v>1</v>
      </c>
      <c r="C281" s="14" t="s">
        <v>154</v>
      </c>
      <c r="D281" s="14" t="n">
        <v>5</v>
      </c>
      <c r="E281" s="14" t="n">
        <v>13.47</v>
      </c>
      <c r="F281" s="31" t="n">
        <v>0.025</v>
      </c>
      <c r="G281" s="31" t="n">
        <v>0.6267</v>
      </c>
      <c r="H281" s="25" t="n">
        <v>128410.54</v>
      </c>
      <c r="I281" s="25" t="n">
        <v>2011.87</v>
      </c>
      <c r="J281" s="32" t="n">
        <f aca="false">F281*G281*H281</f>
        <v>2011.87213545</v>
      </c>
      <c r="K281" s="32" t="n">
        <f aca="false">J281-I281</f>
        <v>0.00213545000019622</v>
      </c>
      <c r="L281" s="28" t="n">
        <f aca="false">IF(B281=1,12,IF(B281=2,MIN(MAX(D281,1),60),6))</f>
        <v>12</v>
      </c>
      <c r="M281" s="11" t="n">
        <f aca="false">IF(B281=3,1,IFERROR(INDEX(PD_TermStructure!$C$2:$C$241,MATCH(C281&amp;"|"&amp;L281,PD_TermStructure!$D$2:$D$241,0)),0))</f>
        <v>0.109872</v>
      </c>
      <c r="N281" s="22" t="n">
        <f aca="false">(1+E281/100)^(-(L281/12)/2)</f>
        <v>0.938770583724149</v>
      </c>
      <c r="O281" s="32" t="n">
        <f aca="false">IF(H281&lt;=0,0,M281*Assumptions!$B$3*H281*N281)</f>
        <v>5492.90016970228</v>
      </c>
      <c r="P281" s="25" t="n">
        <v>5492.9</v>
      </c>
      <c r="Q281" s="32" t="n">
        <f aca="false">O281-P281</f>
        <v>0.000169702280800266</v>
      </c>
    </row>
    <row r="282" customFormat="false" ht="15" hidden="false" customHeight="false" outlineLevel="0" collapsed="false">
      <c r="A282" s="14" t="s">
        <v>451</v>
      </c>
      <c r="B282" s="14" t="n">
        <v>1</v>
      </c>
      <c r="C282" s="14" t="s">
        <v>154</v>
      </c>
      <c r="D282" s="14" t="n">
        <v>35</v>
      </c>
      <c r="E282" s="14" t="n">
        <v>9.74</v>
      </c>
      <c r="F282" s="31" t="n">
        <v>0.0173</v>
      </c>
      <c r="G282" s="31" t="n">
        <v>0.3745</v>
      </c>
      <c r="H282" s="25" t="n">
        <v>458469.78</v>
      </c>
      <c r="I282" s="25" t="n">
        <v>2970.36</v>
      </c>
      <c r="J282" s="32" t="n">
        <f aca="false">F282*G282*H282</f>
        <v>2970.356934153</v>
      </c>
      <c r="K282" s="32" t="n">
        <f aca="false">J282-I282</f>
        <v>-0.00306584700001622</v>
      </c>
      <c r="L282" s="28" t="n">
        <f aca="false">IF(B282=1,12,IF(B282=2,MIN(MAX(D282,1),60),6))</f>
        <v>12</v>
      </c>
      <c r="M282" s="11" t="n">
        <f aca="false">IF(B282=3,1,IFERROR(INDEX(PD_TermStructure!$C$2:$C$241,MATCH(C282&amp;"|"&amp;L282,PD_TermStructure!$D$2:$D$241,0)),0))</f>
        <v>0.109872</v>
      </c>
      <c r="N282" s="22" t="n">
        <f aca="false">(1+E282/100)^(-(L282/12)/2)</f>
        <v>0.95459141015548</v>
      </c>
      <c r="O282" s="32" t="n">
        <f aca="false">IF(H282&lt;=0,0,M282*Assumptions!$B$3*H282*N282)</f>
        <v>19942.0498573143</v>
      </c>
      <c r="P282" s="25" t="n">
        <v>19942.05</v>
      </c>
      <c r="Q282" s="32" t="n">
        <f aca="false">O282-P282</f>
        <v>-0.00014268569793785</v>
      </c>
    </row>
    <row r="283" customFormat="false" ht="15" hidden="false" customHeight="false" outlineLevel="0" collapsed="false">
      <c r="A283" s="14" t="s">
        <v>452</v>
      </c>
      <c r="B283" s="14" t="n">
        <v>1</v>
      </c>
      <c r="C283" s="14" t="s">
        <v>154</v>
      </c>
      <c r="D283" s="14" t="n">
        <v>30</v>
      </c>
      <c r="E283" s="14" t="n">
        <v>10.87</v>
      </c>
      <c r="F283" s="31" t="n">
        <v>0.0142</v>
      </c>
      <c r="G283" s="31" t="n">
        <v>0.619</v>
      </c>
      <c r="H283" s="25" t="n">
        <v>384145.56</v>
      </c>
      <c r="I283" s="25" t="n">
        <v>3376.56</v>
      </c>
      <c r="J283" s="32" t="n">
        <f aca="false">F283*G283*H283</f>
        <v>3376.562643288</v>
      </c>
      <c r="K283" s="32" t="n">
        <f aca="false">J283-I283</f>
        <v>0.00264328800039948</v>
      </c>
      <c r="L283" s="28" t="n">
        <f aca="false">IF(B283=1,12,IF(B283=2,MIN(MAX(D283,1),60),6))</f>
        <v>12</v>
      </c>
      <c r="M283" s="11" t="n">
        <f aca="false">IF(B283=3,1,IFERROR(INDEX(PD_TermStructure!$C$2:$C$241,MATCH(C283&amp;"|"&amp;L283,PD_TermStructure!$D$2:$D$241,0)),0))</f>
        <v>0.109872</v>
      </c>
      <c r="N283" s="22" t="n">
        <f aca="false">(1+E283/100)^(-(L283/12)/2)</f>
        <v>0.949714297684562</v>
      </c>
      <c r="O283" s="32" t="n">
        <f aca="false">IF(H283&lt;=0,0,M283*Assumptions!$B$3*H283*N283)</f>
        <v>16623.801916267</v>
      </c>
      <c r="P283" s="25" t="n">
        <v>16623.8</v>
      </c>
      <c r="Q283" s="32" t="n">
        <f aca="false">O283-P283</f>
        <v>0.00191626698870095</v>
      </c>
    </row>
    <row r="284" customFormat="false" ht="15" hidden="false" customHeight="false" outlineLevel="0" collapsed="false">
      <c r="A284" s="14" t="s">
        <v>453</v>
      </c>
      <c r="B284" s="14" t="n">
        <v>1</v>
      </c>
      <c r="C284" s="14" t="s">
        <v>154</v>
      </c>
      <c r="D284" s="14" t="n">
        <v>33</v>
      </c>
      <c r="E284" s="14" t="n">
        <v>10.44</v>
      </c>
      <c r="F284" s="31" t="n">
        <v>0.0218</v>
      </c>
      <c r="G284" s="31" t="n">
        <v>0.4868</v>
      </c>
      <c r="H284" s="25" t="n">
        <v>376148.7</v>
      </c>
      <c r="I284" s="25" t="n">
        <v>3991.78</v>
      </c>
      <c r="J284" s="32" t="n">
        <f aca="false">F284*G284*H284</f>
        <v>3991.780280088</v>
      </c>
      <c r="K284" s="32" t="n">
        <f aca="false">J284-I284</f>
        <v>0.000280088000181422</v>
      </c>
      <c r="L284" s="28" t="n">
        <f aca="false">IF(B284=1,12,IF(B284=2,MIN(MAX(D284,1),60),6))</f>
        <v>12</v>
      </c>
      <c r="M284" s="11" t="n">
        <f aca="false">IF(B284=3,1,IFERROR(INDEX(PD_TermStructure!$C$2:$C$241,MATCH(C284&amp;"|"&amp;L284,PD_TermStructure!$D$2:$D$241,0)),0))</f>
        <v>0.109872</v>
      </c>
      <c r="N284" s="22" t="n">
        <f aca="false">(1+E284/100)^(-(L284/12)/2)</f>
        <v>0.951561365839888</v>
      </c>
      <c r="O284" s="32" t="n">
        <f aca="false">IF(H284&lt;=0,0,M284*Assumptions!$B$3*H284*N284)</f>
        <v>16309.3978647841</v>
      </c>
      <c r="P284" s="25" t="n">
        <v>16309.4</v>
      </c>
      <c r="Q284" s="32" t="n">
        <f aca="false">O284-P284</f>
        <v>-0.0021352159401431</v>
      </c>
    </row>
    <row r="285" customFormat="false" ht="15" hidden="false" customHeight="false" outlineLevel="0" collapsed="false">
      <c r="A285" s="14" t="s">
        <v>454</v>
      </c>
      <c r="B285" s="14" t="n">
        <v>1</v>
      </c>
      <c r="C285" s="14" t="s">
        <v>154</v>
      </c>
      <c r="D285" s="14" t="n">
        <v>38</v>
      </c>
      <c r="E285" s="14" t="n">
        <v>9.5</v>
      </c>
      <c r="F285" s="31" t="n">
        <v>0.022</v>
      </c>
      <c r="G285" s="31" t="n">
        <v>0.6055</v>
      </c>
      <c r="H285" s="25" t="n">
        <v>569887.05</v>
      </c>
      <c r="I285" s="25" t="n">
        <v>7591.47</v>
      </c>
      <c r="J285" s="32" t="n">
        <f aca="false">F285*G285*H285</f>
        <v>7591.46539305</v>
      </c>
      <c r="K285" s="32" t="n">
        <f aca="false">J285-I285</f>
        <v>-0.00460694999947009</v>
      </c>
      <c r="L285" s="28" t="n">
        <f aca="false">IF(B285=1,12,IF(B285=2,MIN(MAX(D285,1),60),6))</f>
        <v>12</v>
      </c>
      <c r="M285" s="11" t="n">
        <f aca="false">IF(B285=3,1,IFERROR(INDEX(PD_TermStructure!$C$2:$C$241,MATCH(C285&amp;"|"&amp;L285,PD_TermStructure!$D$2:$D$241,0)),0))</f>
        <v>0.109872</v>
      </c>
      <c r="N285" s="22" t="n">
        <f aca="false">(1+E285/100)^(-(L285/12)/2)</f>
        <v>0.955636965134993</v>
      </c>
      <c r="O285" s="32" t="n">
        <f aca="false">IF(H285&lt;=0,0,M285*Assumptions!$B$3*H285*N285)</f>
        <v>24815.5148426147</v>
      </c>
      <c r="P285" s="25" t="n">
        <v>24815.51</v>
      </c>
      <c r="Q285" s="32" t="n">
        <f aca="false">O285-P285</f>
        <v>0.00484261469318881</v>
      </c>
    </row>
    <row r="286" customFormat="false" ht="15" hidden="false" customHeight="false" outlineLevel="0" collapsed="false">
      <c r="A286" s="14" t="s">
        <v>455</v>
      </c>
      <c r="B286" s="14" t="n">
        <v>1</v>
      </c>
      <c r="C286" s="14" t="s">
        <v>154</v>
      </c>
      <c r="D286" s="14" t="n">
        <v>26</v>
      </c>
      <c r="E286" s="14" t="n">
        <v>11.05</v>
      </c>
      <c r="F286" s="31" t="n">
        <v>0.016</v>
      </c>
      <c r="G286" s="31" t="n">
        <v>0.5217</v>
      </c>
      <c r="H286" s="25" t="n">
        <v>312271.54</v>
      </c>
      <c r="I286" s="25" t="n">
        <v>2606.59</v>
      </c>
      <c r="J286" s="32" t="n">
        <f aca="false">F286*G286*H286</f>
        <v>2606.592998688</v>
      </c>
      <c r="K286" s="32" t="n">
        <f aca="false">J286-I286</f>
        <v>0.00299868799993419</v>
      </c>
      <c r="L286" s="28" t="n">
        <f aca="false">IF(B286=1,12,IF(B286=2,MIN(MAX(D286,1),60),6))</f>
        <v>12</v>
      </c>
      <c r="M286" s="11" t="n">
        <f aca="false">IF(B286=3,1,IFERROR(INDEX(PD_TermStructure!$C$2:$C$241,MATCH(C286&amp;"|"&amp;L286,PD_TermStructure!$D$2:$D$241,0)),0))</f>
        <v>0.109872</v>
      </c>
      <c r="N286" s="22" t="n">
        <f aca="false">(1+E286/100)^(-(L286/12)/2)</f>
        <v>0.948944293623087</v>
      </c>
      <c r="O286" s="32" t="n">
        <f aca="false">IF(H286&lt;=0,0,M286*Assumptions!$B$3*H286*N286)</f>
        <v>13502.5155082576</v>
      </c>
      <c r="P286" s="25" t="n">
        <v>13502.52</v>
      </c>
      <c r="Q286" s="32" t="n">
        <f aca="false">O286-P286</f>
        <v>-0.00449174238201522</v>
      </c>
    </row>
    <row r="287" customFormat="false" ht="15" hidden="false" customHeight="false" outlineLevel="0" collapsed="false">
      <c r="A287" s="14" t="s">
        <v>456</v>
      </c>
      <c r="B287" s="14" t="n">
        <v>1</v>
      </c>
      <c r="C287" s="14" t="s">
        <v>154</v>
      </c>
      <c r="D287" s="14" t="n">
        <v>53</v>
      </c>
      <c r="E287" s="14" t="n">
        <v>11.12</v>
      </c>
      <c r="F287" s="31" t="n">
        <v>0.0143</v>
      </c>
      <c r="G287" s="31" t="n">
        <v>0.5623</v>
      </c>
      <c r="H287" s="25" t="n">
        <v>2027563.18</v>
      </c>
      <c r="I287" s="25" t="n">
        <v>16303.41</v>
      </c>
      <c r="J287" s="32" t="n">
        <f aca="false">F287*G287*H287</f>
        <v>16303.4124984302</v>
      </c>
      <c r="K287" s="32" t="n">
        <f aca="false">J287-I287</f>
        <v>0.00249843019992113</v>
      </c>
      <c r="L287" s="28" t="n">
        <f aca="false">IF(B287=1,12,IF(B287=2,MIN(MAX(D287,1),60),6))</f>
        <v>12</v>
      </c>
      <c r="M287" s="11" t="n">
        <f aca="false">IF(B287=3,1,IFERROR(INDEX(PD_TermStructure!$C$2:$C$241,MATCH(C287&amp;"|"&amp;L287,PD_TermStructure!$D$2:$D$241,0)),0))</f>
        <v>0.109872</v>
      </c>
      <c r="N287" s="22" t="n">
        <f aca="false">(1+E287/100)^(-(L287/12)/2)</f>
        <v>0.94864535299528</v>
      </c>
      <c r="O287" s="32" t="n">
        <f aca="false">IF(H287&lt;=0,0,M287*Assumptions!$B$3*H287*N287)</f>
        <v>87643.5258694294</v>
      </c>
      <c r="P287" s="25" t="n">
        <v>87643.53</v>
      </c>
      <c r="Q287" s="32" t="n">
        <f aca="false">O287-P287</f>
        <v>-0.00413057063997258</v>
      </c>
    </row>
    <row r="288" customFormat="false" ht="15" hidden="false" customHeight="false" outlineLevel="0" collapsed="false">
      <c r="A288" s="14" t="s">
        <v>457</v>
      </c>
      <c r="B288" s="14" t="n">
        <v>1</v>
      </c>
      <c r="C288" s="14" t="s">
        <v>154</v>
      </c>
      <c r="D288" s="14" t="n">
        <v>27</v>
      </c>
      <c r="E288" s="14" t="n">
        <v>12.58</v>
      </c>
      <c r="F288" s="31" t="n">
        <v>0.025</v>
      </c>
      <c r="G288" s="31" t="n">
        <v>0.4124</v>
      </c>
      <c r="H288" s="25" t="n">
        <v>461791.9</v>
      </c>
      <c r="I288" s="25" t="n">
        <v>4761.07</v>
      </c>
      <c r="J288" s="32" t="n">
        <f aca="false">F288*G288*H288</f>
        <v>4761.074489</v>
      </c>
      <c r="K288" s="32" t="n">
        <f aca="false">J288-I288</f>
        <v>0.00448900000083086</v>
      </c>
      <c r="L288" s="28" t="n">
        <f aca="false">IF(B288=1,12,IF(B288=2,MIN(MAX(D288,1),60),6))</f>
        <v>12</v>
      </c>
      <c r="M288" s="11" t="n">
        <f aca="false">IF(B288=3,1,IFERROR(INDEX(PD_TermStructure!$C$2:$C$241,MATCH(C288&amp;"|"&amp;L288,PD_TermStructure!$D$2:$D$241,0)),0))</f>
        <v>0.109872</v>
      </c>
      <c r="N288" s="22" t="n">
        <f aca="false">(1+E288/100)^(-(L288/12)/2)</f>
        <v>0.94247399926815</v>
      </c>
      <c r="O288" s="32" t="n">
        <f aca="false">IF(H288&lt;=0,0,M288*Assumptions!$B$3*H288*N288)</f>
        <v>19831.5769749359</v>
      </c>
      <c r="P288" s="25" t="n">
        <v>19831.58</v>
      </c>
      <c r="Q288" s="32" t="n">
        <f aca="false">O288-P288</f>
        <v>-0.00302506409934722</v>
      </c>
    </row>
    <row r="289" customFormat="false" ht="15" hidden="false" customHeight="false" outlineLevel="0" collapsed="false">
      <c r="A289" s="14" t="s">
        <v>458</v>
      </c>
      <c r="B289" s="14" t="n">
        <v>1</v>
      </c>
      <c r="C289" s="14" t="s">
        <v>154</v>
      </c>
      <c r="D289" s="14" t="n">
        <v>19</v>
      </c>
      <c r="E289" s="14" t="n">
        <v>13.83</v>
      </c>
      <c r="F289" s="31" t="n">
        <v>0.0166</v>
      </c>
      <c r="G289" s="31" t="n">
        <v>0.4595</v>
      </c>
      <c r="H289" s="25" t="n">
        <v>1089426.54</v>
      </c>
      <c r="I289" s="25" t="n">
        <v>8309.82</v>
      </c>
      <c r="J289" s="32" t="n">
        <f aca="false">F289*G289*H289</f>
        <v>8309.818819158</v>
      </c>
      <c r="K289" s="32" t="n">
        <f aca="false">J289-I289</f>
        <v>-0.00118084199857549</v>
      </c>
      <c r="L289" s="28" t="n">
        <f aca="false">IF(B289=1,12,IF(B289=2,MIN(MAX(D289,1),60),6))</f>
        <v>12</v>
      </c>
      <c r="M289" s="11" t="n">
        <f aca="false">IF(B289=3,1,IFERROR(INDEX(PD_TermStructure!$C$2:$C$241,MATCH(C289&amp;"|"&amp;L289,PD_TermStructure!$D$2:$D$241,0)),0))</f>
        <v>0.109872</v>
      </c>
      <c r="N289" s="22" t="n">
        <f aca="false">(1+E289/100)^(-(L289/12)/2)</f>
        <v>0.937284925108399</v>
      </c>
      <c r="O289" s="32" t="n">
        <f aca="false">IF(H289&lt;=0,0,M289*Assumptions!$B$3*H289*N289)</f>
        <v>46527.6528324346</v>
      </c>
      <c r="P289" s="25" t="n">
        <v>46527.65</v>
      </c>
      <c r="Q289" s="32" t="n">
        <f aca="false">O289-P289</f>
        <v>0.00283243460580707</v>
      </c>
    </row>
    <row r="290" customFormat="false" ht="15" hidden="false" customHeight="false" outlineLevel="0" collapsed="false">
      <c r="A290" s="14" t="s">
        <v>459</v>
      </c>
      <c r="B290" s="14" t="n">
        <v>1</v>
      </c>
      <c r="C290" s="14" t="s">
        <v>154</v>
      </c>
      <c r="D290" s="14" t="n">
        <v>40</v>
      </c>
      <c r="E290" s="14" t="n">
        <v>11.09</v>
      </c>
      <c r="F290" s="31" t="n">
        <v>0.0212</v>
      </c>
      <c r="G290" s="31" t="n">
        <v>0.4315</v>
      </c>
      <c r="H290" s="25" t="n">
        <v>986236.06</v>
      </c>
      <c r="I290" s="25" t="n">
        <v>9021.89</v>
      </c>
      <c r="J290" s="32" t="n">
        <f aca="false">F290*G290*H290</f>
        <v>9021.890229668</v>
      </c>
      <c r="K290" s="32" t="n">
        <f aca="false">J290-I290</f>
        <v>0.000229668001338723</v>
      </c>
      <c r="L290" s="28" t="n">
        <f aca="false">IF(B290=1,12,IF(B290=2,MIN(MAX(D290,1),60),6))</f>
        <v>12</v>
      </c>
      <c r="M290" s="11" t="n">
        <f aca="false">IF(B290=3,1,IFERROR(INDEX(PD_TermStructure!$C$2:$C$241,MATCH(C290&amp;"|"&amp;L290,PD_TermStructure!$D$2:$D$241,0)),0))</f>
        <v>0.109872</v>
      </c>
      <c r="N290" s="22" t="n">
        <f aca="false">(1+E290/100)^(-(L290/12)/2)</f>
        <v>0.948773435808663</v>
      </c>
      <c r="O290" s="32" t="n">
        <f aca="false">IF(H290&lt;=0,0,M290*Assumptions!$B$3*H290*N290)</f>
        <v>42636.8346708776</v>
      </c>
      <c r="P290" s="25" t="n">
        <v>42636.83</v>
      </c>
      <c r="Q290" s="32" t="n">
        <f aca="false">O290-P290</f>
        <v>0.00467087759170681</v>
      </c>
    </row>
    <row r="291" customFormat="false" ht="15" hidden="false" customHeight="false" outlineLevel="0" collapsed="false">
      <c r="A291" s="14" t="s">
        <v>460</v>
      </c>
      <c r="B291" s="14" t="n">
        <v>1</v>
      </c>
      <c r="C291" s="14" t="s">
        <v>154</v>
      </c>
      <c r="D291" s="14" t="n">
        <v>43</v>
      </c>
      <c r="E291" s="14" t="n">
        <v>13.29</v>
      </c>
      <c r="F291" s="31" t="n">
        <v>0.0223</v>
      </c>
      <c r="G291" s="31" t="n">
        <v>0.565</v>
      </c>
      <c r="H291" s="25" t="n">
        <v>374967.25</v>
      </c>
      <c r="I291" s="25" t="n">
        <v>4724.4</v>
      </c>
      <c r="J291" s="32" t="n">
        <f aca="false">F291*G291*H291</f>
        <v>4724.399866375</v>
      </c>
      <c r="K291" s="32" t="n">
        <f aca="false">J291-I291</f>
        <v>-0.000133624999762105</v>
      </c>
      <c r="L291" s="28" t="n">
        <f aca="false">IF(B291=1,12,IF(B291=2,MIN(MAX(D291,1),60),6))</f>
        <v>12</v>
      </c>
      <c r="M291" s="11" t="n">
        <f aca="false">IF(B291=3,1,IFERROR(INDEX(PD_TermStructure!$C$2:$C$241,MATCH(C291&amp;"|"&amp;L291,PD_TermStructure!$D$2:$D$241,0)),0))</f>
        <v>0.109872</v>
      </c>
      <c r="N291" s="22" t="n">
        <f aca="false">(1+E291/100)^(-(L291/12)/2)</f>
        <v>0.939516067165714</v>
      </c>
      <c r="O291" s="32" t="n">
        <f aca="false">IF(H291&lt;=0,0,M291*Assumptions!$B$3*H291*N291)</f>
        <v>16052.3681145362</v>
      </c>
      <c r="P291" s="25" t="n">
        <v>16052.37</v>
      </c>
      <c r="Q291" s="32" t="n">
        <f aca="false">O291-P291</f>
        <v>-0.00188546383105859</v>
      </c>
    </row>
    <row r="292" customFormat="false" ht="15" hidden="false" customHeight="false" outlineLevel="0" collapsed="false">
      <c r="A292" s="14" t="s">
        <v>461</v>
      </c>
      <c r="B292" s="14" t="n">
        <v>1</v>
      </c>
      <c r="C292" s="14" t="s">
        <v>154</v>
      </c>
      <c r="D292" s="14" t="n">
        <v>41</v>
      </c>
      <c r="E292" s="14" t="n">
        <v>9.72</v>
      </c>
      <c r="F292" s="31" t="n">
        <v>0.0249</v>
      </c>
      <c r="G292" s="31" t="n">
        <v>0.4353</v>
      </c>
      <c r="H292" s="25" t="n">
        <v>606891.33</v>
      </c>
      <c r="I292" s="25" t="n">
        <v>6578.08</v>
      </c>
      <c r="J292" s="32" t="n">
        <f aca="false">F292*G292*H292</f>
        <v>6578.0769191301</v>
      </c>
      <c r="K292" s="32" t="n">
        <f aca="false">J292-I292</f>
        <v>-0.00308086990025913</v>
      </c>
      <c r="L292" s="28" t="n">
        <f aca="false">IF(B292=1,12,IF(B292=2,MIN(MAX(D292,1),60),6))</f>
        <v>12</v>
      </c>
      <c r="M292" s="11" t="n">
        <f aca="false">IF(B292=3,1,IFERROR(INDEX(PD_TermStructure!$C$2:$C$241,MATCH(C292&amp;"|"&amp;L292,PD_TermStructure!$D$2:$D$241,0)),0))</f>
        <v>0.109872</v>
      </c>
      <c r="N292" s="22" t="n">
        <f aca="false">(1+E292/100)^(-(L292/12)/2)</f>
        <v>0.954678408689282</v>
      </c>
      <c r="O292" s="32" t="n">
        <f aca="false">IF(H292&lt;=0,0,M292*Assumptions!$B$3*H292*N292)</f>
        <v>26400.3445546439</v>
      </c>
      <c r="P292" s="25" t="n">
        <v>26400.34</v>
      </c>
      <c r="Q292" s="32" t="n">
        <f aca="false">O292-P292</f>
        <v>0.00455464391779969</v>
      </c>
    </row>
    <row r="293" customFormat="false" ht="15" hidden="false" customHeight="false" outlineLevel="0" collapsed="false">
      <c r="A293" s="14" t="s">
        <v>462</v>
      </c>
      <c r="B293" s="14" t="n">
        <v>1</v>
      </c>
      <c r="C293" s="14" t="s">
        <v>154</v>
      </c>
      <c r="D293" s="14" t="n">
        <v>28</v>
      </c>
      <c r="E293" s="14" t="n">
        <v>11.79</v>
      </c>
      <c r="F293" s="31" t="n">
        <v>0.0151</v>
      </c>
      <c r="G293" s="31" t="n">
        <v>0.5672</v>
      </c>
      <c r="H293" s="25" t="n">
        <v>321688.54</v>
      </c>
      <c r="I293" s="25" t="n">
        <v>2755.17</v>
      </c>
      <c r="J293" s="32" t="n">
        <f aca="false">F293*G293*H293</f>
        <v>2755.1722723088</v>
      </c>
      <c r="K293" s="32" t="n">
        <f aca="false">J293-I293</f>
        <v>0.00227230880000207</v>
      </c>
      <c r="L293" s="28" t="n">
        <f aca="false">IF(B293=1,12,IF(B293=2,MIN(MAX(D293,1),60),6))</f>
        <v>12</v>
      </c>
      <c r="M293" s="11" t="n">
        <f aca="false">IF(B293=3,1,IFERROR(INDEX(PD_TermStructure!$C$2:$C$241,MATCH(C293&amp;"|"&amp;L293,PD_TermStructure!$D$2:$D$241,0)),0))</f>
        <v>0.109872</v>
      </c>
      <c r="N293" s="22" t="n">
        <f aca="false">(1+E293/100)^(-(L293/12)/2)</f>
        <v>0.945798284438855</v>
      </c>
      <c r="O293" s="32" t="n">
        <f aca="false">IF(H293&lt;=0,0,M293*Assumptions!$B$3*H293*N293)</f>
        <v>13863.58893424</v>
      </c>
      <c r="P293" s="25" t="n">
        <v>13863.59</v>
      </c>
      <c r="Q293" s="32" t="n">
        <f aca="false">O293-P293</f>
        <v>-0.00106576001599024</v>
      </c>
    </row>
    <row r="294" customFormat="false" ht="15" hidden="false" customHeight="false" outlineLevel="0" collapsed="false">
      <c r="A294" s="14" t="s">
        <v>463</v>
      </c>
      <c r="B294" s="14" t="n">
        <v>1</v>
      </c>
      <c r="C294" s="14" t="s">
        <v>154</v>
      </c>
      <c r="D294" s="14" t="n">
        <v>29</v>
      </c>
      <c r="E294" s="14" t="n">
        <v>9.39</v>
      </c>
      <c r="F294" s="31" t="n">
        <v>0.0233</v>
      </c>
      <c r="G294" s="31" t="n">
        <v>0.4948</v>
      </c>
      <c r="H294" s="25" t="n">
        <v>180734.86</v>
      </c>
      <c r="I294" s="25" t="n">
        <v>2083.66</v>
      </c>
      <c r="J294" s="32" t="n">
        <f aca="false">F294*G294*H294</f>
        <v>2083.6632833624</v>
      </c>
      <c r="K294" s="32" t="n">
        <f aca="false">J294-I294</f>
        <v>0.00328336239999771</v>
      </c>
      <c r="L294" s="28" t="n">
        <f aca="false">IF(B294=1,12,IF(B294=2,MIN(MAX(D294,1),60),6))</f>
        <v>12</v>
      </c>
      <c r="M294" s="11" t="n">
        <f aca="false">IF(B294=3,1,IFERROR(INDEX(PD_TermStructure!$C$2:$C$241,MATCH(C294&amp;"|"&amp;L294,PD_TermStructure!$D$2:$D$241,0)),0))</f>
        <v>0.109872</v>
      </c>
      <c r="N294" s="22" t="n">
        <f aca="false">(1+E294/100)^(-(L294/12)/2)</f>
        <v>0.956117327384191</v>
      </c>
      <c r="O294" s="32" t="n">
        <f aca="false">IF(H294&lt;=0,0,M294*Assumptions!$B$3*H294*N294)</f>
        <v>7873.98670263214</v>
      </c>
      <c r="P294" s="25" t="n">
        <v>7873.99</v>
      </c>
      <c r="Q294" s="32" t="n">
        <f aca="false">O294-P294</f>
        <v>-0.00329736786170542</v>
      </c>
    </row>
    <row r="295" customFormat="false" ht="15" hidden="false" customHeight="false" outlineLevel="0" collapsed="false">
      <c r="A295" s="14" t="s">
        <v>464</v>
      </c>
      <c r="B295" s="14" t="n">
        <v>1</v>
      </c>
      <c r="C295" s="14" t="s">
        <v>154</v>
      </c>
      <c r="D295" s="14" t="n">
        <v>40</v>
      </c>
      <c r="E295" s="14" t="n">
        <v>13.23</v>
      </c>
      <c r="F295" s="31" t="n">
        <v>0.0186</v>
      </c>
      <c r="G295" s="31" t="n">
        <v>0.4857</v>
      </c>
      <c r="H295" s="25" t="n">
        <v>235630.64</v>
      </c>
      <c r="I295" s="25" t="n">
        <v>2128.69</v>
      </c>
      <c r="J295" s="32" t="n">
        <f aca="false">F295*G295*H295</f>
        <v>2128.6919143728</v>
      </c>
      <c r="K295" s="32" t="n">
        <f aca="false">J295-I295</f>
        <v>0.00191437280000173</v>
      </c>
      <c r="L295" s="28" t="n">
        <f aca="false">IF(B295=1,12,IF(B295=2,MIN(MAX(D295,1),60),6))</f>
        <v>12</v>
      </c>
      <c r="M295" s="11" t="n">
        <f aca="false">IF(B295=3,1,IFERROR(INDEX(PD_TermStructure!$C$2:$C$241,MATCH(C295&amp;"|"&amp;L295,PD_TermStructure!$D$2:$D$241,0)),0))</f>
        <v>0.109872</v>
      </c>
      <c r="N295" s="22" t="n">
        <f aca="false">(1+E295/100)^(-(L295/12)/2)</f>
        <v>0.939764956586963</v>
      </c>
      <c r="O295" s="32" t="n">
        <f aca="false">IF(H295&lt;=0,0,M295*Assumptions!$B$3*H295*N295)</f>
        <v>10090.0326221874</v>
      </c>
      <c r="P295" s="25" t="n">
        <v>10090.03</v>
      </c>
      <c r="Q295" s="32" t="n">
        <f aca="false">O295-P295</f>
        <v>0.00262218740681419</v>
      </c>
    </row>
    <row r="296" customFormat="false" ht="15" hidden="false" customHeight="false" outlineLevel="0" collapsed="false">
      <c r="A296" s="14" t="s">
        <v>465</v>
      </c>
      <c r="B296" s="14" t="n">
        <v>1</v>
      </c>
      <c r="C296" s="14" t="s">
        <v>154</v>
      </c>
      <c r="D296" s="14" t="n">
        <v>65</v>
      </c>
      <c r="E296" s="14" t="n">
        <v>8.81</v>
      </c>
      <c r="F296" s="31" t="n">
        <v>0.0146</v>
      </c>
      <c r="G296" s="31" t="n">
        <v>0.4648</v>
      </c>
      <c r="H296" s="25" t="n">
        <v>574569.55</v>
      </c>
      <c r="I296" s="25" t="n">
        <v>3899.07</v>
      </c>
      <c r="J296" s="32" t="n">
        <f aca="false">F296*G296*H296</f>
        <v>3899.074931864</v>
      </c>
      <c r="K296" s="32" t="n">
        <f aca="false">J296-I296</f>
        <v>0.00493186399990009</v>
      </c>
      <c r="L296" s="28" t="n">
        <f aca="false">IF(B296=1,12,IF(B296=2,MIN(MAX(D296,1),60),6))</f>
        <v>12</v>
      </c>
      <c r="M296" s="11" t="n">
        <f aca="false">IF(B296=3,1,IFERROR(INDEX(PD_TermStructure!$C$2:$C$241,MATCH(C296&amp;"|"&amp;L296,PD_TermStructure!$D$2:$D$241,0)),0))</f>
        <v>0.109872</v>
      </c>
      <c r="N296" s="22" t="n">
        <f aca="false">(1+E296/100)^(-(L296/12)/2)</f>
        <v>0.958662180905085</v>
      </c>
      <c r="O296" s="32" t="n">
        <f aca="false">IF(H296&lt;=0,0,M296*Assumptions!$B$3*H296*N296)</f>
        <v>25098.6153219897</v>
      </c>
      <c r="P296" s="25" t="n">
        <v>25098.62</v>
      </c>
      <c r="Q296" s="32" t="n">
        <f aca="false">O296-P296</f>
        <v>-0.00467801034756121</v>
      </c>
    </row>
    <row r="297" customFormat="false" ht="15" hidden="false" customHeight="false" outlineLevel="0" collapsed="false">
      <c r="A297" s="14" t="s">
        <v>466</v>
      </c>
      <c r="B297" s="14" t="n">
        <v>1</v>
      </c>
      <c r="C297" s="14" t="s">
        <v>154</v>
      </c>
      <c r="D297" s="14" t="n">
        <v>25</v>
      </c>
      <c r="E297" s="14" t="n">
        <v>13.77</v>
      </c>
      <c r="F297" s="31" t="n">
        <v>0.0216</v>
      </c>
      <c r="G297" s="31" t="n">
        <v>0.5618</v>
      </c>
      <c r="H297" s="25" t="n">
        <v>913707.76</v>
      </c>
      <c r="I297" s="25" t="n">
        <v>11087.73</v>
      </c>
      <c r="J297" s="32" t="n">
        <f aca="false">F297*G297*H297</f>
        <v>11087.7340226688</v>
      </c>
      <c r="K297" s="32" t="n">
        <f aca="false">J297-I297</f>
        <v>0.00402266880155366</v>
      </c>
      <c r="L297" s="28" t="n">
        <f aca="false">IF(B297=1,12,IF(B297=2,MIN(MAX(D297,1),60),6))</f>
        <v>12</v>
      </c>
      <c r="M297" s="11" t="n">
        <f aca="false">IF(B297=3,1,IFERROR(INDEX(PD_TermStructure!$C$2:$C$241,MATCH(C297&amp;"|"&amp;L297,PD_TermStructure!$D$2:$D$241,0)),0))</f>
        <v>0.109872</v>
      </c>
      <c r="N297" s="22" t="n">
        <f aca="false">(1+E297/100)^(-(L297/12)/2)</f>
        <v>0.937532045099978</v>
      </c>
      <c r="O297" s="32" t="n">
        <f aca="false">IF(H297&lt;=0,0,M297*Assumptions!$B$3*H297*N297)</f>
        <v>39033.2753722534</v>
      </c>
      <c r="P297" s="25" t="n">
        <v>39033.28</v>
      </c>
      <c r="Q297" s="32" t="n">
        <f aca="false">O297-P297</f>
        <v>-0.00462774655898102</v>
      </c>
    </row>
    <row r="298" customFormat="false" ht="15" hidden="false" customHeight="false" outlineLevel="0" collapsed="false">
      <c r="A298" s="14" t="s">
        <v>467</v>
      </c>
      <c r="B298" s="14" t="n">
        <v>1</v>
      </c>
      <c r="C298" s="14" t="s">
        <v>154</v>
      </c>
      <c r="D298" s="14" t="n">
        <v>19</v>
      </c>
      <c r="E298" s="14" t="n">
        <v>14.24</v>
      </c>
      <c r="F298" s="31" t="n">
        <v>0.024</v>
      </c>
      <c r="G298" s="31" t="n">
        <v>0.5076</v>
      </c>
      <c r="H298" s="25" t="n">
        <v>314775.33</v>
      </c>
      <c r="I298" s="25" t="n">
        <v>3834.72</v>
      </c>
      <c r="J298" s="32" t="n">
        <f aca="false">F298*G298*H298</f>
        <v>3834.718980192</v>
      </c>
      <c r="K298" s="32" t="n">
        <f aca="false">J298-I298</f>
        <v>-0.00101980799900048</v>
      </c>
      <c r="L298" s="28" t="n">
        <f aca="false">IF(B298=1,12,IF(B298=2,MIN(MAX(D298,1),60),6))</f>
        <v>12</v>
      </c>
      <c r="M298" s="11" t="n">
        <f aca="false">IF(B298=3,1,IFERROR(INDEX(PD_TermStructure!$C$2:$C$241,MATCH(C298&amp;"|"&amp;L298,PD_TermStructure!$D$2:$D$241,0)),0))</f>
        <v>0.109872</v>
      </c>
      <c r="N298" s="22" t="n">
        <f aca="false">(1+E298/100)^(-(L298/12)/2)</f>
        <v>0.9356014857064</v>
      </c>
      <c r="O298" s="32" t="n">
        <f aca="false">IF(H298&lt;=0,0,M298*Assumptions!$B$3*H298*N298)</f>
        <v>13419.401653176</v>
      </c>
      <c r="P298" s="25" t="n">
        <v>13419.4</v>
      </c>
      <c r="Q298" s="32" t="n">
        <f aca="false">O298-P298</f>
        <v>0.00165317600112758</v>
      </c>
    </row>
    <row r="299" customFormat="false" ht="15" hidden="false" customHeight="false" outlineLevel="0" collapsed="false">
      <c r="A299" s="14" t="s">
        <v>468</v>
      </c>
      <c r="B299" s="14" t="n">
        <v>3</v>
      </c>
      <c r="C299" s="14" t="s">
        <v>182</v>
      </c>
      <c r="D299" s="14" t="n">
        <v>38</v>
      </c>
      <c r="E299" s="14" t="n">
        <v>9.61</v>
      </c>
      <c r="F299" s="31" t="n">
        <v>0.9208</v>
      </c>
      <c r="G299" s="31" t="n">
        <v>0.6396</v>
      </c>
      <c r="H299" s="25" t="n">
        <v>677650.94</v>
      </c>
      <c r="I299" s="25" t="n">
        <v>399098.24</v>
      </c>
      <c r="J299" s="32" t="n">
        <f aca="false">F299*G299*H299</f>
        <v>399098.238359059</v>
      </c>
      <c r="K299" s="32" t="n">
        <f aca="false">J299-I299</f>
        <v>-0.00164094084175304</v>
      </c>
      <c r="L299" s="28" t="n">
        <f aca="false">IF(B299=1,12,IF(B299=2,MIN(MAX(D299,1),60),6))</f>
        <v>6</v>
      </c>
      <c r="M299" s="11" t="n">
        <f aca="false">IF(B299=3,1,IFERROR(INDEX(PD_TermStructure!$C$2:$C$241,MATCH(C299&amp;"|"&amp;L299,PD_TermStructure!$D$2:$D$241,0)),0))</f>
        <v>1</v>
      </c>
      <c r="N299" s="22" t="n">
        <f aca="false">(1+E299/100)^(-(L299/12)/2)</f>
        <v>0.977321506043151</v>
      </c>
      <c r="O299" s="32" t="n">
        <f aca="false">IF(H299&lt;=0,0,M299*Assumptions!$B$3*H299*N299)</f>
        <v>274661.654472821</v>
      </c>
      <c r="P299" s="25" t="n">
        <v>274661.65</v>
      </c>
      <c r="Q299" s="32" t="n">
        <f aca="false">O299-P299</f>
        <v>0.00447282136883587</v>
      </c>
    </row>
    <row r="300" customFormat="false" ht="15" hidden="false" customHeight="false" outlineLevel="0" collapsed="false">
      <c r="A300" s="14" t="s">
        <v>469</v>
      </c>
      <c r="B300" s="14" t="n">
        <v>1</v>
      </c>
      <c r="C300" s="14" t="s">
        <v>154</v>
      </c>
      <c r="D300" s="14" t="n">
        <v>62</v>
      </c>
      <c r="E300" s="14" t="n">
        <v>12.41</v>
      </c>
      <c r="F300" s="31" t="n">
        <v>0.0176</v>
      </c>
      <c r="G300" s="31" t="n">
        <v>0.4365</v>
      </c>
      <c r="H300" s="25" t="n">
        <v>790438.95</v>
      </c>
      <c r="I300" s="25" t="n">
        <v>6072.47</v>
      </c>
      <c r="J300" s="32" t="n">
        <f aca="false">F300*G300*H300</f>
        <v>6072.46818948</v>
      </c>
      <c r="K300" s="32" t="n">
        <f aca="false">J300-I300</f>
        <v>-0.00181051999970805</v>
      </c>
      <c r="L300" s="28" t="n">
        <f aca="false">IF(B300=1,12,IF(B300=2,MIN(MAX(D300,1),60),6))</f>
        <v>12</v>
      </c>
      <c r="M300" s="11" t="n">
        <f aca="false">IF(B300=3,1,IFERROR(INDEX(PD_TermStructure!$C$2:$C$241,MATCH(C300&amp;"|"&amp;L300,PD_TermStructure!$D$2:$D$241,0)),0))</f>
        <v>0.109872</v>
      </c>
      <c r="N300" s="22" t="n">
        <f aca="false">(1+E300/100)^(-(L300/12)/2)</f>
        <v>0.943186391623821</v>
      </c>
      <c r="O300" s="32" t="n">
        <f aca="false">IF(H300&lt;=0,0,M300*Assumptions!$B$3*H300*N300)</f>
        <v>33970.9287030648</v>
      </c>
      <c r="P300" s="25" t="n">
        <v>33970.93</v>
      </c>
      <c r="Q300" s="32" t="n">
        <f aca="false">O300-P300</f>
        <v>-0.00129693525377661</v>
      </c>
    </row>
    <row r="301" customFormat="false" ht="15" hidden="false" customHeight="false" outlineLevel="0" collapsed="false">
      <c r="A301" s="14" t="s">
        <v>470</v>
      </c>
      <c r="B301" s="14" t="n">
        <v>1</v>
      </c>
      <c r="C301" s="14" t="s">
        <v>154</v>
      </c>
      <c r="D301" s="14" t="n">
        <v>20</v>
      </c>
      <c r="E301" s="14" t="n">
        <v>12.49</v>
      </c>
      <c r="F301" s="31" t="n">
        <v>0.025</v>
      </c>
      <c r="G301" s="31" t="n">
        <v>0.5291</v>
      </c>
      <c r="H301" s="25" t="n">
        <v>934802.02</v>
      </c>
      <c r="I301" s="25" t="n">
        <v>12365.09</v>
      </c>
      <c r="J301" s="32" t="n">
        <f aca="false">F301*G301*H301</f>
        <v>12365.09371955</v>
      </c>
      <c r="K301" s="32" t="n">
        <f aca="false">J301-I301</f>
        <v>0.0037195500008238</v>
      </c>
      <c r="L301" s="28" t="n">
        <f aca="false">IF(B301=1,12,IF(B301=2,MIN(MAX(D301,1),60),6))</f>
        <v>12</v>
      </c>
      <c r="M301" s="11" t="n">
        <f aca="false">IF(B301=3,1,IFERROR(INDEX(PD_TermStructure!$C$2:$C$241,MATCH(C301&amp;"|"&amp;L301,PD_TermStructure!$D$2:$D$241,0)),0))</f>
        <v>0.109872</v>
      </c>
      <c r="N301" s="22" t="n">
        <f aca="false">(1+E301/100)^(-(L301/12)/2)</f>
        <v>0.942850946999849</v>
      </c>
      <c r="O301" s="32" t="n">
        <f aca="false">IF(H301&lt;=0,0,M301*Assumptions!$B$3*H301*N301)</f>
        <v>40160.9747414198</v>
      </c>
      <c r="P301" s="25" t="n">
        <v>40160.97</v>
      </c>
      <c r="Q301" s="32" t="n">
        <f aca="false">O301-P301</f>
        <v>0.00474141977610998</v>
      </c>
    </row>
    <row r="302" customFormat="false" ht="15" hidden="false" customHeight="false" outlineLevel="0" collapsed="false">
      <c r="A302" s="14" t="s">
        <v>471</v>
      </c>
      <c r="B302" s="14" t="n">
        <v>2</v>
      </c>
      <c r="C302" s="14" t="s">
        <v>157</v>
      </c>
      <c r="D302" s="14" t="n">
        <v>52</v>
      </c>
      <c r="E302" s="14" t="n">
        <v>13.99</v>
      </c>
      <c r="F302" s="31" t="n">
        <v>0.1283</v>
      </c>
      <c r="G302" s="31" t="n">
        <v>0.4407</v>
      </c>
      <c r="H302" s="25" t="n">
        <v>390578.87</v>
      </c>
      <c r="I302" s="25" t="n">
        <v>22084.04</v>
      </c>
      <c r="J302" s="32" t="n">
        <f aca="false">F302*G302*H302</f>
        <v>22084.0362575547</v>
      </c>
      <c r="K302" s="32" t="n">
        <f aca="false">J302-I302</f>
        <v>-0.0037424453003041</v>
      </c>
      <c r="L302" s="28" t="n">
        <f aca="false">IF(B302=1,12,IF(B302=2,MIN(MAX(D302,1),60),6))</f>
        <v>52</v>
      </c>
      <c r="M302" s="11" t="n">
        <f aca="false">IF(B302=3,1,IFERROR(INDEX(PD_TermStructure!$C$2:$C$241,MATCH(C302&amp;"|"&amp;L302,PD_TermStructure!$D$2:$D$241,0)),0))</f>
        <v>1</v>
      </c>
      <c r="N302" s="22" t="n">
        <f aca="false">(1+E302/100)^(-(L302/12)/2)</f>
        <v>0.752989118815187</v>
      </c>
      <c r="O302" s="32" t="n">
        <f aca="false">IF(H302&lt;=0,0,M302*Assumptions!$B$3*H302*N302)</f>
        <v>121969.705763475</v>
      </c>
      <c r="P302" s="25" t="n">
        <v>121969.71</v>
      </c>
      <c r="Q302" s="32" t="n">
        <f aca="false">O302-P302</f>
        <v>-0.00423652533208951</v>
      </c>
    </row>
    <row r="303" customFormat="false" ht="15" hidden="false" customHeight="false" outlineLevel="0" collapsed="false">
      <c r="A303" s="14" t="s">
        <v>472</v>
      </c>
      <c r="B303" s="14" t="n">
        <v>1</v>
      </c>
      <c r="C303" s="14" t="s">
        <v>154</v>
      </c>
      <c r="D303" s="14" t="n">
        <v>53</v>
      </c>
      <c r="E303" s="14" t="n">
        <v>13.37</v>
      </c>
      <c r="F303" s="31" t="n">
        <v>0.0156</v>
      </c>
      <c r="G303" s="31" t="n">
        <v>0.6185</v>
      </c>
      <c r="H303" s="25" t="n">
        <v>1872353.21</v>
      </c>
      <c r="I303" s="25" t="n">
        <v>18065.59</v>
      </c>
      <c r="J303" s="32" t="n">
        <f aca="false">F303*G303*H303</f>
        <v>18065.587182006</v>
      </c>
      <c r="K303" s="32" t="n">
        <f aca="false">J303-I303</f>
        <v>-0.00281799400181626</v>
      </c>
      <c r="L303" s="28" t="n">
        <f aca="false">IF(B303=1,12,IF(B303=2,MIN(MAX(D303,1),60),6))</f>
        <v>12</v>
      </c>
      <c r="M303" s="11" t="n">
        <f aca="false">IF(B303=3,1,IFERROR(INDEX(PD_TermStructure!$C$2:$C$241,MATCH(C303&amp;"|"&amp;L303,PD_TermStructure!$D$2:$D$241,0)),0))</f>
        <v>0.109872</v>
      </c>
      <c r="N303" s="22" t="n">
        <f aca="false">(1+E303/100)^(-(L303/12)/2)</f>
        <v>0.939184522005971</v>
      </c>
      <c r="O303" s="32" t="n">
        <f aca="false">IF(H303&lt;=0,0,M303*Assumptions!$B$3*H303*N303)</f>
        <v>80127.2554646131</v>
      </c>
      <c r="P303" s="25" t="n">
        <v>80127.26</v>
      </c>
      <c r="Q303" s="32" t="n">
        <f aca="false">O303-P303</f>
        <v>-0.00453538689180277</v>
      </c>
    </row>
    <row r="304" customFormat="false" ht="15" hidden="false" customHeight="false" outlineLevel="0" collapsed="false">
      <c r="A304" s="14" t="s">
        <v>473</v>
      </c>
      <c r="B304" s="14" t="n">
        <v>1</v>
      </c>
      <c r="C304" s="14" t="s">
        <v>155</v>
      </c>
      <c r="D304" s="14" t="n">
        <v>69</v>
      </c>
      <c r="E304" s="14" t="n">
        <v>7.67</v>
      </c>
      <c r="F304" s="31" t="n">
        <v>0.0238</v>
      </c>
      <c r="G304" s="31" t="n">
        <v>0.5472</v>
      </c>
      <c r="H304" s="25" t="n">
        <v>708433.72</v>
      </c>
      <c r="I304" s="25" t="n">
        <v>9226.19</v>
      </c>
      <c r="J304" s="32" t="n">
        <f aca="false">F304*G304*H304</f>
        <v>9226.1873716992</v>
      </c>
      <c r="K304" s="32" t="n">
        <f aca="false">J304-I304</f>
        <v>-0.00262830079918786</v>
      </c>
      <c r="L304" s="28" t="n">
        <f aca="false">IF(B304=1,12,IF(B304=2,MIN(MAX(D304,1),60),6))</f>
        <v>12</v>
      </c>
      <c r="M304" s="11" t="n">
        <f aca="false">IF(B304=3,1,IFERROR(INDEX(PD_TermStructure!$C$2:$C$241,MATCH(C304&amp;"|"&amp;L304,PD_TermStructure!$D$2:$D$241,0)),0))</f>
        <v>0.164153</v>
      </c>
      <c r="N304" s="22" t="n">
        <f aca="false">(1+E304/100)^(-(L304/12)/2)</f>
        <v>0.963723931093212</v>
      </c>
      <c r="O304" s="32" t="n">
        <f aca="false">IF(H304&lt;=0,0,M304*Assumptions!$B$3*H304*N304)</f>
        <v>46478.8338687144</v>
      </c>
      <c r="P304" s="25" t="n">
        <v>46478.83</v>
      </c>
      <c r="Q304" s="32" t="n">
        <f aca="false">O304-P304</f>
        <v>0.00386871444061399</v>
      </c>
    </row>
    <row r="305" customFormat="false" ht="15" hidden="false" customHeight="false" outlineLevel="0" collapsed="false">
      <c r="A305" s="14" t="s">
        <v>474</v>
      </c>
      <c r="B305" s="14" t="n">
        <v>1</v>
      </c>
      <c r="C305" s="14" t="s">
        <v>154</v>
      </c>
      <c r="D305" s="14" t="n">
        <v>66</v>
      </c>
      <c r="E305" s="14" t="n">
        <v>10.42</v>
      </c>
      <c r="F305" s="31" t="n">
        <v>0.0173</v>
      </c>
      <c r="G305" s="31" t="n">
        <v>0.6445</v>
      </c>
      <c r="H305" s="25" t="n">
        <v>1457540.03</v>
      </c>
      <c r="I305" s="25" t="n">
        <v>16251.35</v>
      </c>
      <c r="J305" s="32" t="n">
        <f aca="false">F305*G305*H305</f>
        <v>16251.3527034955</v>
      </c>
      <c r="K305" s="32" t="n">
        <f aca="false">J305-I305</f>
        <v>0.00270349549828097</v>
      </c>
      <c r="L305" s="28" t="n">
        <f aca="false">IF(B305=1,12,IF(B305=2,MIN(MAX(D305,1),60),6))</f>
        <v>12</v>
      </c>
      <c r="M305" s="11" t="n">
        <f aca="false">IF(B305=3,1,IFERROR(INDEX(PD_TermStructure!$C$2:$C$241,MATCH(C305&amp;"|"&amp;L305,PD_TermStructure!$D$2:$D$241,0)),0))</f>
        <v>0.109872</v>
      </c>
      <c r="N305" s="22" t="n">
        <f aca="false">(1+E305/100)^(-(L305/12)/2)</f>
        <v>0.951647538479036</v>
      </c>
      <c r="O305" s="32" t="n">
        <f aca="false">IF(H305&lt;=0,0,M305*Assumptions!$B$3*H305*N305)</f>
        <v>63203.0709937281</v>
      </c>
      <c r="P305" s="25" t="n">
        <v>63203.07</v>
      </c>
      <c r="Q305" s="32" t="n">
        <f aca="false">O305-P305</f>
        <v>0.00099372812837828</v>
      </c>
    </row>
    <row r="306" customFormat="false" ht="15" hidden="false" customHeight="false" outlineLevel="0" collapsed="false">
      <c r="A306" s="14" t="s">
        <v>475</v>
      </c>
      <c r="B306" s="14" t="n">
        <v>1</v>
      </c>
      <c r="C306" s="14" t="s">
        <v>154</v>
      </c>
      <c r="D306" s="14" t="n">
        <v>7</v>
      </c>
      <c r="E306" s="14" t="n">
        <v>9.45</v>
      </c>
      <c r="F306" s="31" t="n">
        <v>0.021</v>
      </c>
      <c r="G306" s="31" t="n">
        <v>0.599</v>
      </c>
      <c r="H306" s="25" t="n">
        <v>135429.2</v>
      </c>
      <c r="I306" s="25" t="n">
        <v>1703.56</v>
      </c>
      <c r="J306" s="32" t="n">
        <f aca="false">F306*G306*H306</f>
        <v>1703.5639068</v>
      </c>
      <c r="K306" s="32" t="n">
        <f aca="false">J306-I306</f>
        <v>0.00390680000009525</v>
      </c>
      <c r="L306" s="28" t="n">
        <f aca="false">IF(B306=1,12,IF(B306=2,MIN(MAX(D306,1),60),6))</f>
        <v>12</v>
      </c>
      <c r="M306" s="11" t="n">
        <f aca="false">IF(B306=3,1,IFERROR(INDEX(PD_TermStructure!$C$2:$C$241,MATCH(C306&amp;"|"&amp;L306,PD_TermStructure!$D$2:$D$241,0)),0))</f>
        <v>0.109872</v>
      </c>
      <c r="N306" s="22" t="n">
        <f aca="false">(1+E306/100)^(-(L306/12)/2)</f>
        <v>0.955855221838795</v>
      </c>
      <c r="O306" s="32" t="n">
        <f aca="false">IF(H306&lt;=0,0,M306*Assumptions!$B$3*H306*N306)</f>
        <v>5898.55986207771</v>
      </c>
      <c r="P306" s="25" t="n">
        <v>5898.56</v>
      </c>
      <c r="Q306" s="32" t="n">
        <f aca="false">O306-P306</f>
        <v>-0.000137922295834869</v>
      </c>
    </row>
    <row r="307" customFormat="false" ht="15" hidden="false" customHeight="false" outlineLevel="0" collapsed="false">
      <c r="A307" s="14" t="s">
        <v>476</v>
      </c>
      <c r="B307" s="14" t="n">
        <v>2</v>
      </c>
      <c r="C307" s="14" t="s">
        <v>157</v>
      </c>
      <c r="D307" s="14" t="n">
        <v>42</v>
      </c>
      <c r="E307" s="14" t="n">
        <v>13.96</v>
      </c>
      <c r="F307" s="31" t="n">
        <v>0.1002</v>
      </c>
      <c r="G307" s="31" t="n">
        <v>0.5726</v>
      </c>
      <c r="H307" s="25" t="n">
        <v>644355.17</v>
      </c>
      <c r="I307" s="25" t="n">
        <v>36969.57</v>
      </c>
      <c r="J307" s="32" t="n">
        <f aca="false">F307*G307*H307</f>
        <v>36969.5685882684</v>
      </c>
      <c r="K307" s="32" t="n">
        <f aca="false">J307-I307</f>
        <v>-0.00141173159499886</v>
      </c>
      <c r="L307" s="28" t="n">
        <f aca="false">IF(B307=1,12,IF(B307=2,MIN(MAX(D307,1),60),6))</f>
        <v>42</v>
      </c>
      <c r="M307" s="11" t="n">
        <f aca="false">IF(B307=3,1,IFERROR(INDEX(PD_TermStructure!$C$2:$C$241,MATCH(C307&amp;"|"&amp;L307,PD_TermStructure!$D$2:$D$241,0)),0))</f>
        <v>1</v>
      </c>
      <c r="N307" s="22" t="n">
        <f aca="false">(1+E307/100)^(-(L307/12)/2)</f>
        <v>0.795578849755958</v>
      </c>
      <c r="O307" s="32" t="n">
        <f aca="false">IF(H307&lt;=0,0,M307*Assumptions!$B$3*H307*N307)</f>
        <v>212599.910603752</v>
      </c>
      <c r="P307" s="25" t="n">
        <v>212599.91</v>
      </c>
      <c r="Q307" s="32" t="n">
        <f aca="false">O307-P307</f>
        <v>0.000603751715971157</v>
      </c>
    </row>
    <row r="308" customFormat="false" ht="15" hidden="false" customHeight="false" outlineLevel="0" collapsed="false">
      <c r="A308" s="14" t="s">
        <v>477</v>
      </c>
      <c r="B308" s="14" t="n">
        <v>1</v>
      </c>
      <c r="C308" s="14" t="s">
        <v>154</v>
      </c>
      <c r="D308" s="14" t="n">
        <v>45</v>
      </c>
      <c r="E308" s="14" t="n">
        <v>13.55</v>
      </c>
      <c r="F308" s="31" t="n">
        <v>0.0208</v>
      </c>
      <c r="G308" s="31" t="n">
        <v>0.3882</v>
      </c>
      <c r="H308" s="25" t="n">
        <v>254711.16</v>
      </c>
      <c r="I308" s="25" t="n">
        <v>2056.68</v>
      </c>
      <c r="J308" s="32" t="n">
        <f aca="false">F308*G308*H308</f>
        <v>2056.6805440896</v>
      </c>
      <c r="K308" s="32" t="n">
        <f aca="false">J308-I308</f>
        <v>0.000544089600225561</v>
      </c>
      <c r="L308" s="28" t="n">
        <f aca="false">IF(B308=1,12,IF(B308=2,MIN(MAX(D308,1),60),6))</f>
        <v>12</v>
      </c>
      <c r="M308" s="11" t="n">
        <f aca="false">IF(B308=3,1,IFERROR(INDEX(PD_TermStructure!$C$2:$C$241,MATCH(C308&amp;"|"&amp;L308,PD_TermStructure!$D$2:$D$241,0)),0))</f>
        <v>0.109872</v>
      </c>
      <c r="N308" s="22" t="n">
        <f aca="false">(1+E308/100)^(-(L308/12)/2)</f>
        <v>0.938439826880015</v>
      </c>
      <c r="O308" s="32" t="n">
        <f aca="false">IF(H308&lt;=0,0,M308*Assumptions!$B$3*H308*N308)</f>
        <v>10891.707396681</v>
      </c>
      <c r="P308" s="25" t="n">
        <v>10891.71</v>
      </c>
      <c r="Q308" s="32" t="n">
        <f aca="false">O308-P308</f>
        <v>-0.00260331903336919</v>
      </c>
    </row>
    <row r="309" customFormat="false" ht="15" hidden="false" customHeight="false" outlineLevel="0" collapsed="false">
      <c r="A309" s="14" t="s">
        <v>478</v>
      </c>
      <c r="B309" s="14" t="n">
        <v>2</v>
      </c>
      <c r="C309" s="14" t="s">
        <v>157</v>
      </c>
      <c r="D309" s="14" t="n">
        <v>34</v>
      </c>
      <c r="E309" s="14" t="n">
        <v>8.02</v>
      </c>
      <c r="F309" s="31" t="n">
        <v>0.1505</v>
      </c>
      <c r="G309" s="31" t="n">
        <v>0.549</v>
      </c>
      <c r="H309" s="25" t="n">
        <v>417457.58</v>
      </c>
      <c r="I309" s="25" t="n">
        <v>34492.22</v>
      </c>
      <c r="J309" s="32" t="n">
        <f aca="false">F309*G309*H309</f>
        <v>34492.22381871</v>
      </c>
      <c r="K309" s="32" t="n">
        <f aca="false">J309-I309</f>
        <v>0.00381870999990497</v>
      </c>
      <c r="L309" s="28" t="n">
        <f aca="false">IF(B309=1,12,IF(B309=2,MIN(MAX(D309,1),60),6))</f>
        <v>34</v>
      </c>
      <c r="M309" s="11" t="n">
        <f aca="false">IF(B309=3,1,IFERROR(INDEX(PD_TermStructure!$C$2:$C$241,MATCH(C309&amp;"|"&amp;L309,PD_TermStructure!$D$2:$D$241,0)),0))</f>
        <v>1</v>
      </c>
      <c r="N309" s="22" t="n">
        <f aca="false">(1+E309/100)^(-(L309/12)/2)</f>
        <v>0.896469988315097</v>
      </c>
      <c r="O309" s="32" t="n">
        <f aca="false">IF(H309&lt;=0,0,M309*Assumptions!$B$3*H309*N309)</f>
        <v>155203.902566623</v>
      </c>
      <c r="P309" s="25" t="n">
        <v>155203.9</v>
      </c>
      <c r="Q309" s="32" t="n">
        <f aca="false">O309-P309</f>
        <v>0.00256662318133749</v>
      </c>
    </row>
    <row r="310" customFormat="false" ht="15" hidden="false" customHeight="false" outlineLevel="0" collapsed="false">
      <c r="A310" s="14" t="s">
        <v>479</v>
      </c>
      <c r="B310" s="14" t="n">
        <v>1</v>
      </c>
      <c r="C310" s="14" t="s">
        <v>154</v>
      </c>
      <c r="D310" s="14" t="n">
        <v>7</v>
      </c>
      <c r="E310" s="14" t="n">
        <v>9.39</v>
      </c>
      <c r="F310" s="31" t="n">
        <v>0.0206</v>
      </c>
      <c r="G310" s="31" t="n">
        <v>0.3656</v>
      </c>
      <c r="H310" s="25" t="n">
        <v>116282.63</v>
      </c>
      <c r="I310" s="25" t="n">
        <v>875.77</v>
      </c>
      <c r="J310" s="32" t="n">
        <f aca="false">F310*G310*H310</f>
        <v>875.7663482768</v>
      </c>
      <c r="K310" s="32" t="n">
        <f aca="false">J310-I310</f>
        <v>-0.0036517231999369</v>
      </c>
      <c r="L310" s="28" t="n">
        <f aca="false">IF(B310=1,12,IF(B310=2,MIN(MAX(D310,1),60),6))</f>
        <v>12</v>
      </c>
      <c r="M310" s="11" t="n">
        <f aca="false">IF(B310=3,1,IFERROR(INDEX(PD_TermStructure!$C$2:$C$241,MATCH(C310&amp;"|"&amp;L310,PD_TermStructure!$D$2:$D$241,0)),0))</f>
        <v>0.109872</v>
      </c>
      <c r="N310" s="22" t="n">
        <f aca="false">(1+E310/100)^(-(L310/12)/2)</f>
        <v>0.956117327384191</v>
      </c>
      <c r="O310" s="32" t="n">
        <f aca="false">IF(H310&lt;=0,0,M310*Assumptions!$B$3*H310*N310)</f>
        <v>5066.0281163639</v>
      </c>
      <c r="P310" s="25" t="n">
        <v>5066.03</v>
      </c>
      <c r="Q310" s="32" t="n">
        <f aca="false">O310-P310</f>
        <v>-0.00188363610050146</v>
      </c>
    </row>
    <row r="311" customFormat="false" ht="15" hidden="false" customHeight="false" outlineLevel="0" collapsed="false">
      <c r="A311" s="14" t="s">
        <v>480</v>
      </c>
      <c r="B311" s="14" t="n">
        <v>1</v>
      </c>
      <c r="C311" s="14" t="s">
        <v>154</v>
      </c>
      <c r="D311" s="14" t="n">
        <v>32</v>
      </c>
      <c r="E311" s="14" t="n">
        <v>11.62</v>
      </c>
      <c r="F311" s="31" t="n">
        <v>0.0156</v>
      </c>
      <c r="G311" s="31" t="n">
        <v>0.4693</v>
      </c>
      <c r="H311" s="25" t="n">
        <v>1921585.01</v>
      </c>
      <c r="I311" s="25" t="n">
        <v>14068.08</v>
      </c>
      <c r="J311" s="32" t="n">
        <f aca="false">F311*G311*H311</f>
        <v>14068.0775850108</v>
      </c>
      <c r="K311" s="32" t="n">
        <f aca="false">J311-I311</f>
        <v>-0.00241498919967853</v>
      </c>
      <c r="L311" s="28" t="n">
        <f aca="false">IF(B311=1,12,IF(B311=2,MIN(MAX(D311,1),60),6))</f>
        <v>12</v>
      </c>
      <c r="M311" s="11" t="n">
        <f aca="false">IF(B311=3,1,IFERROR(INDEX(PD_TermStructure!$C$2:$C$241,MATCH(C311&amp;"|"&amp;L311,PD_TermStructure!$D$2:$D$241,0)),0))</f>
        <v>0.109872</v>
      </c>
      <c r="N311" s="22" t="n">
        <f aca="false">(1+E311/100)^(-(L311/12)/2)</f>
        <v>0.946518247414957</v>
      </c>
      <c r="O311" s="32" t="n">
        <f aca="false">IF(H311&lt;=0,0,M311*Assumptions!$B$3*H311*N311)</f>
        <v>82876.2619229258</v>
      </c>
      <c r="P311" s="25" t="n">
        <v>82876.26</v>
      </c>
      <c r="Q311" s="32" t="n">
        <f aca="false">O311-P311</f>
        <v>0.00192292575957254</v>
      </c>
    </row>
    <row r="312" customFormat="false" ht="15" hidden="false" customHeight="false" outlineLevel="0" collapsed="false">
      <c r="A312" s="14" t="s">
        <v>481</v>
      </c>
      <c r="B312" s="14" t="n">
        <v>1</v>
      </c>
      <c r="C312" s="14" t="s">
        <v>154</v>
      </c>
      <c r="D312" s="14" t="n">
        <v>17</v>
      </c>
      <c r="E312" s="14" t="n">
        <v>11.19</v>
      </c>
      <c r="F312" s="31" t="n">
        <v>0.0144</v>
      </c>
      <c r="G312" s="31" t="n">
        <v>0.4205</v>
      </c>
      <c r="H312" s="25" t="n">
        <v>694877.51</v>
      </c>
      <c r="I312" s="25" t="n">
        <v>4207.62</v>
      </c>
      <c r="J312" s="32" t="n">
        <f aca="false">F312*G312*H312</f>
        <v>4207.622298552</v>
      </c>
      <c r="K312" s="32" t="n">
        <f aca="false">J312-I312</f>
        <v>0.00229855199995654</v>
      </c>
      <c r="L312" s="28" t="n">
        <f aca="false">IF(B312=1,12,IF(B312=2,MIN(MAX(D312,1),60),6))</f>
        <v>12</v>
      </c>
      <c r="M312" s="11" t="n">
        <f aca="false">IF(B312=3,1,IFERROR(INDEX(PD_TermStructure!$C$2:$C$241,MATCH(C312&amp;"|"&amp;L312,PD_TermStructure!$D$2:$D$241,0)),0))</f>
        <v>0.109872</v>
      </c>
      <c r="N312" s="22" t="n">
        <f aca="false">(1+E312/100)^(-(L312/12)/2)</f>
        <v>0.948346694710383</v>
      </c>
      <c r="O312" s="32" t="n">
        <f aca="false">IF(H312&lt;=0,0,M312*Assumptions!$B$3*H312*N312)</f>
        <v>30027.3462449425</v>
      </c>
      <c r="P312" s="25" t="n">
        <v>30027.35</v>
      </c>
      <c r="Q312" s="32" t="n">
        <f aca="false">O312-P312</f>
        <v>-0.0037550575179921</v>
      </c>
    </row>
    <row r="313" customFormat="false" ht="15" hidden="false" customHeight="false" outlineLevel="0" collapsed="false">
      <c r="A313" s="14" t="s">
        <v>482</v>
      </c>
      <c r="B313" s="14" t="n">
        <v>1</v>
      </c>
      <c r="C313" s="14" t="s">
        <v>154</v>
      </c>
      <c r="D313" s="14" t="n">
        <v>66</v>
      </c>
      <c r="E313" s="14" t="n">
        <v>10.97</v>
      </c>
      <c r="F313" s="31" t="n">
        <v>0.0237</v>
      </c>
      <c r="G313" s="31" t="n">
        <v>0.5273</v>
      </c>
      <c r="H313" s="25" t="n">
        <v>353059.14</v>
      </c>
      <c r="I313" s="25" t="n">
        <v>4412.18</v>
      </c>
      <c r="J313" s="32" t="n">
        <f aca="false">F313*G313*H313</f>
        <v>4412.1836031714</v>
      </c>
      <c r="K313" s="32" t="n">
        <f aca="false">J313-I313</f>
        <v>0.00360317139984545</v>
      </c>
      <c r="L313" s="28" t="n">
        <f aca="false">IF(B313=1,12,IF(B313=2,MIN(MAX(D313,1),60),6))</f>
        <v>12</v>
      </c>
      <c r="M313" s="11" t="n">
        <f aca="false">IF(B313=3,1,IFERROR(INDEX(PD_TermStructure!$C$2:$C$241,MATCH(C313&amp;"|"&amp;L313,PD_TermStructure!$D$2:$D$241,0)),0))</f>
        <v>0.109872</v>
      </c>
      <c r="N313" s="22" t="n">
        <f aca="false">(1+E313/100)^(-(L313/12)/2)</f>
        <v>0.949286286351957</v>
      </c>
      <c r="O313" s="32" t="n">
        <f aca="false">IF(H313&lt;=0,0,M313*Assumptions!$B$3*H313*N313)</f>
        <v>15271.6593163368</v>
      </c>
      <c r="P313" s="25" t="n">
        <v>15271.66</v>
      </c>
      <c r="Q313" s="32" t="n">
        <f aca="false">O313-P313</f>
        <v>-0.000683663214658736</v>
      </c>
    </row>
    <row r="314" customFormat="false" ht="15" hidden="false" customHeight="false" outlineLevel="0" collapsed="false">
      <c r="A314" s="14" t="s">
        <v>483</v>
      </c>
      <c r="B314" s="14" t="n">
        <v>1</v>
      </c>
      <c r="C314" s="14" t="s">
        <v>154</v>
      </c>
      <c r="D314" s="14" t="n">
        <v>30</v>
      </c>
      <c r="E314" s="14" t="n">
        <v>10.47</v>
      </c>
      <c r="F314" s="31" t="n">
        <v>0.0214</v>
      </c>
      <c r="G314" s="31" t="n">
        <v>0.4585</v>
      </c>
      <c r="H314" s="25" t="n">
        <v>1255571.86</v>
      </c>
      <c r="I314" s="25" t="n">
        <v>12319.55</v>
      </c>
      <c r="J314" s="32" t="n">
        <f aca="false">F314*G314*H314</f>
        <v>12319.545533134</v>
      </c>
      <c r="K314" s="32" t="n">
        <f aca="false">J314-I314</f>
        <v>-0.00446686599752866</v>
      </c>
      <c r="L314" s="28" t="n">
        <f aca="false">IF(B314=1,12,IF(B314=2,MIN(MAX(D314,1),60),6))</f>
        <v>12</v>
      </c>
      <c r="M314" s="11" t="n">
        <f aca="false">IF(B314=3,1,IFERROR(INDEX(PD_TermStructure!$C$2:$C$241,MATCH(C314&amp;"|"&amp;L314,PD_TermStructure!$D$2:$D$241,0)),0))</f>
        <v>0.109872</v>
      </c>
      <c r="N314" s="22" t="n">
        <f aca="false">(1+E314/100)^(-(L314/12)/2)</f>
        <v>0.951432150761889</v>
      </c>
      <c r="O314" s="32" t="n">
        <f aca="false">IF(H314&lt;=0,0,M314*Assumptions!$B$3*H314*N314)</f>
        <v>54432.8354752139</v>
      </c>
      <c r="P314" s="25" t="n">
        <v>54432.84</v>
      </c>
      <c r="Q314" s="32" t="n">
        <f aca="false">O314-P314</f>
        <v>-0.00452478612714913</v>
      </c>
    </row>
    <row r="315" customFormat="false" ht="15" hidden="false" customHeight="false" outlineLevel="0" collapsed="false">
      <c r="A315" s="14" t="s">
        <v>484</v>
      </c>
      <c r="B315" s="14" t="n">
        <v>1</v>
      </c>
      <c r="C315" s="14" t="s">
        <v>154</v>
      </c>
      <c r="D315" s="14" t="n">
        <v>71</v>
      </c>
      <c r="E315" s="14" t="n">
        <v>7.76</v>
      </c>
      <c r="F315" s="31" t="n">
        <v>0.0216</v>
      </c>
      <c r="G315" s="31" t="n">
        <v>0.3941</v>
      </c>
      <c r="H315" s="25" t="n">
        <v>1497969.28</v>
      </c>
      <c r="I315" s="25" t="n">
        <v>12751.55</v>
      </c>
      <c r="J315" s="32" t="n">
        <f aca="false">F315*G315*H315</f>
        <v>12751.5533741568</v>
      </c>
      <c r="K315" s="32" t="n">
        <f aca="false">J315-I315</f>
        <v>0.00337415680223785</v>
      </c>
      <c r="L315" s="28" t="n">
        <f aca="false">IF(B315=1,12,IF(B315=2,MIN(MAX(D315,1),60),6))</f>
        <v>12</v>
      </c>
      <c r="M315" s="11" t="n">
        <f aca="false">IF(B315=3,1,IFERROR(INDEX(PD_TermStructure!$C$2:$C$241,MATCH(C315&amp;"|"&amp;L315,PD_TermStructure!$D$2:$D$241,0)),0))</f>
        <v>0.109872</v>
      </c>
      <c r="N315" s="22" t="n">
        <f aca="false">(1+E315/100)^(-(L315/12)/2)</f>
        <v>0.963321401066146</v>
      </c>
      <c r="O315" s="32" t="n">
        <f aca="false">IF(H315&lt;=0,0,M315*Assumptions!$B$3*H315*N315)</f>
        <v>65753.0158114875</v>
      </c>
      <c r="P315" s="25" t="n">
        <v>65753.02</v>
      </c>
      <c r="Q315" s="32" t="n">
        <f aca="false">O315-P315</f>
        <v>-0.00418851246649865</v>
      </c>
    </row>
    <row r="316" customFormat="false" ht="15" hidden="false" customHeight="false" outlineLevel="0" collapsed="false">
      <c r="A316" s="14" t="s">
        <v>485</v>
      </c>
      <c r="B316" s="14" t="n">
        <v>1</v>
      </c>
      <c r="C316" s="14" t="s">
        <v>154</v>
      </c>
      <c r="D316" s="14" t="n">
        <v>41</v>
      </c>
      <c r="E316" s="14" t="n">
        <v>9.14</v>
      </c>
      <c r="F316" s="31" t="n">
        <v>0.0257</v>
      </c>
      <c r="G316" s="31" t="n">
        <v>0.6192</v>
      </c>
      <c r="H316" s="25" t="n">
        <v>260044.1</v>
      </c>
      <c r="I316" s="25" t="n">
        <v>4138.2</v>
      </c>
      <c r="J316" s="32" t="n">
        <f aca="false">F316*G316*H316</f>
        <v>4138.196182704</v>
      </c>
      <c r="K316" s="32" t="n">
        <f aca="false">J316-I316</f>
        <v>-0.00381729599939717</v>
      </c>
      <c r="L316" s="28" t="n">
        <f aca="false">IF(B316=1,12,IF(B316=2,MIN(MAX(D316,1),60),6))</f>
        <v>12</v>
      </c>
      <c r="M316" s="11" t="n">
        <f aca="false">IF(B316=3,1,IFERROR(INDEX(PD_TermStructure!$C$2:$C$241,MATCH(C316&amp;"|"&amp;L316,PD_TermStructure!$D$2:$D$241,0)),0))</f>
        <v>0.109872</v>
      </c>
      <c r="N316" s="22" t="n">
        <f aca="false">(1+E316/100)^(-(L316/12)/2)</f>
        <v>0.957211759334461</v>
      </c>
      <c r="O316" s="32" t="n">
        <f aca="false">IF(H316&lt;=0,0,M316*Assumptions!$B$3*H316*N316)</f>
        <v>11342.18146137</v>
      </c>
      <c r="P316" s="25" t="n">
        <v>11342.18</v>
      </c>
      <c r="Q316" s="32" t="n">
        <f aca="false">O316-P316</f>
        <v>0.00146137000956514</v>
      </c>
    </row>
    <row r="317" customFormat="false" ht="15" hidden="false" customHeight="false" outlineLevel="0" collapsed="false">
      <c r="A317" s="14" t="s">
        <v>486</v>
      </c>
      <c r="B317" s="14" t="n">
        <v>1</v>
      </c>
      <c r="C317" s="14" t="s">
        <v>154</v>
      </c>
      <c r="D317" s="14" t="n">
        <v>13</v>
      </c>
      <c r="E317" s="14" t="n">
        <v>10.15</v>
      </c>
      <c r="F317" s="31" t="n">
        <v>0.0213</v>
      </c>
      <c r="G317" s="31" t="n">
        <v>0.5478</v>
      </c>
      <c r="H317" s="25" t="n">
        <v>341492.21</v>
      </c>
      <c r="I317" s="25" t="n">
        <v>3984.58</v>
      </c>
      <c r="J317" s="32" t="n">
        <f aca="false">F317*G317*H317</f>
        <v>3984.5789151894</v>
      </c>
      <c r="K317" s="32" t="n">
        <f aca="false">J317-I317</f>
        <v>-0.00108481060033228</v>
      </c>
      <c r="L317" s="28" t="n">
        <f aca="false">IF(B317=1,12,IF(B317=2,MIN(MAX(D317,1),60),6))</f>
        <v>12</v>
      </c>
      <c r="M317" s="11" t="n">
        <f aca="false">IF(B317=3,1,IFERROR(INDEX(PD_TermStructure!$C$2:$C$241,MATCH(C317&amp;"|"&amp;L317,PD_TermStructure!$D$2:$D$241,0)),0))</f>
        <v>0.109872</v>
      </c>
      <c r="N317" s="22" t="n">
        <f aca="false">(1+E317/100)^(-(L317/12)/2)</f>
        <v>0.952813165224795</v>
      </c>
      <c r="O317" s="32" t="n">
        <f aca="false">IF(H317&lt;=0,0,M317*Assumptions!$B$3*H317*N317)</f>
        <v>14826.208783473</v>
      </c>
      <c r="P317" s="25" t="n">
        <v>14826.21</v>
      </c>
      <c r="Q317" s="32" t="n">
        <f aca="false">O317-P317</f>
        <v>-0.00121652696179808</v>
      </c>
    </row>
    <row r="318" customFormat="false" ht="15" hidden="false" customHeight="false" outlineLevel="0" collapsed="false">
      <c r="A318" s="14" t="s">
        <v>487</v>
      </c>
      <c r="B318" s="14" t="n">
        <v>1</v>
      </c>
      <c r="C318" s="14" t="s">
        <v>155</v>
      </c>
      <c r="D318" s="14" t="n">
        <v>51</v>
      </c>
      <c r="E318" s="14" t="n">
        <v>10.03</v>
      </c>
      <c r="F318" s="31" t="n">
        <v>0.0178</v>
      </c>
      <c r="G318" s="31" t="n">
        <v>0.3745</v>
      </c>
      <c r="H318" s="25" t="n">
        <v>489058.34</v>
      </c>
      <c r="I318" s="25" t="n">
        <v>3260.11</v>
      </c>
      <c r="J318" s="32" t="n">
        <f aca="false">F318*G318*H318</f>
        <v>3260.111800274</v>
      </c>
      <c r="K318" s="32" t="n">
        <f aca="false">J318-I318</f>
        <v>0.00180027400028848</v>
      </c>
      <c r="L318" s="28" t="n">
        <f aca="false">IF(B318=1,12,IF(B318=2,MIN(MAX(D318,1),60),6))</f>
        <v>12</v>
      </c>
      <c r="M318" s="11" t="n">
        <f aca="false">IF(B318=3,1,IFERROR(INDEX(PD_TermStructure!$C$2:$C$241,MATCH(C318&amp;"|"&amp;L318,PD_TermStructure!$D$2:$D$241,0)),0))</f>
        <v>0.164153</v>
      </c>
      <c r="N318" s="22" t="n">
        <f aca="false">(1+E318/100)^(-(L318/12)/2)</f>
        <v>0.953332598208258</v>
      </c>
      <c r="O318" s="32" t="n">
        <f aca="false">IF(H318&lt;=0,0,M318*Assumptions!$B$3*H318*N318)</f>
        <v>31740.1129717771</v>
      </c>
      <c r="P318" s="25" t="n">
        <v>31740.11</v>
      </c>
      <c r="Q318" s="32" t="n">
        <f aca="false">O318-P318</f>
        <v>0.00297177704851492</v>
      </c>
    </row>
    <row r="319" customFormat="false" ht="15" hidden="false" customHeight="false" outlineLevel="0" collapsed="false">
      <c r="A319" s="14" t="s">
        <v>488</v>
      </c>
      <c r="B319" s="14" t="n">
        <v>1</v>
      </c>
      <c r="C319" s="14" t="s">
        <v>154</v>
      </c>
      <c r="D319" s="14" t="n">
        <v>57</v>
      </c>
      <c r="E319" s="14" t="n">
        <v>7.67</v>
      </c>
      <c r="F319" s="31" t="n">
        <v>0.0149</v>
      </c>
      <c r="G319" s="31" t="n">
        <v>0.6262</v>
      </c>
      <c r="H319" s="25" t="n">
        <v>463485.45</v>
      </c>
      <c r="I319" s="25" t="n">
        <v>4324.5</v>
      </c>
      <c r="J319" s="32" t="n">
        <f aca="false">F319*G319*H319</f>
        <v>4324.495372971</v>
      </c>
      <c r="K319" s="32" t="n">
        <f aca="false">J319-I319</f>
        <v>-0.00462702900040313</v>
      </c>
      <c r="L319" s="28" t="n">
        <f aca="false">IF(B319=1,12,IF(B319=2,MIN(MAX(D319,1),60),6))</f>
        <v>12</v>
      </c>
      <c r="M319" s="11" t="n">
        <f aca="false">IF(B319=3,1,IFERROR(INDEX(PD_TermStructure!$C$2:$C$241,MATCH(C319&amp;"|"&amp;L319,PD_TermStructure!$D$2:$D$241,0)),0))</f>
        <v>0.109872</v>
      </c>
      <c r="N319" s="22" t="n">
        <f aca="false">(1+E319/100)^(-(L319/12)/2)</f>
        <v>0.963723931093212</v>
      </c>
      <c r="O319" s="32" t="n">
        <f aca="false">IF(H319&lt;=0,0,M319*Assumptions!$B$3*H319*N319)</f>
        <v>20353.087970567</v>
      </c>
      <c r="P319" s="25" t="n">
        <v>20353.09</v>
      </c>
      <c r="Q319" s="32" t="n">
        <f aca="false">O319-P319</f>
        <v>-0.00202943297699676</v>
      </c>
    </row>
    <row r="320" customFormat="false" ht="15" hidden="false" customHeight="false" outlineLevel="0" collapsed="false">
      <c r="A320" s="14" t="s">
        <v>489</v>
      </c>
      <c r="B320" s="14" t="n">
        <v>1</v>
      </c>
      <c r="C320" s="14" t="s">
        <v>154</v>
      </c>
      <c r="D320" s="14" t="n">
        <v>48</v>
      </c>
      <c r="E320" s="14" t="n">
        <v>11.65</v>
      </c>
      <c r="F320" s="31" t="n">
        <v>0.0179</v>
      </c>
      <c r="G320" s="31" t="n">
        <v>0.4456</v>
      </c>
      <c r="H320" s="25" t="n">
        <v>417569.7</v>
      </c>
      <c r="I320" s="25" t="n">
        <v>3330.64</v>
      </c>
      <c r="J320" s="32" t="n">
        <f aca="false">F320*G320*H320</f>
        <v>3330.636143928</v>
      </c>
      <c r="K320" s="32" t="n">
        <f aca="false">J320-I320</f>
        <v>-0.0038560719999623</v>
      </c>
      <c r="L320" s="28" t="n">
        <f aca="false">IF(B320=1,12,IF(B320=2,MIN(MAX(D320,1),60),6))</f>
        <v>12</v>
      </c>
      <c r="M320" s="11" t="n">
        <f aca="false">IF(B320=3,1,IFERROR(INDEX(PD_TermStructure!$C$2:$C$241,MATCH(C320&amp;"|"&amp;L320,PD_TermStructure!$D$2:$D$241,0)),0))</f>
        <v>0.109872</v>
      </c>
      <c r="N320" s="22" t="n">
        <f aca="false">(1+E320/100)^(-(L320/12)/2)</f>
        <v>0.946391075649946</v>
      </c>
      <c r="O320" s="32" t="n">
        <f aca="false">IF(H320&lt;=0,0,M320*Assumptions!$B$3*H320*N320)</f>
        <v>18006.9921403583</v>
      </c>
      <c r="P320" s="25" t="n">
        <v>18006.99</v>
      </c>
      <c r="Q320" s="32" t="n">
        <f aca="false">O320-P320</f>
        <v>0.00214035828321357</v>
      </c>
    </row>
    <row r="321" customFormat="false" ht="15" hidden="false" customHeight="false" outlineLevel="0" collapsed="false">
      <c r="A321" s="14" t="s">
        <v>490</v>
      </c>
      <c r="B321" s="14" t="n">
        <v>1</v>
      </c>
      <c r="C321" s="14" t="s">
        <v>155</v>
      </c>
      <c r="D321" s="14" t="n">
        <v>33</v>
      </c>
      <c r="E321" s="14" t="n">
        <v>14.07</v>
      </c>
      <c r="F321" s="31" t="n">
        <v>0.0174</v>
      </c>
      <c r="G321" s="31" t="n">
        <v>0.6344</v>
      </c>
      <c r="H321" s="25" t="n">
        <v>177264.26</v>
      </c>
      <c r="I321" s="25" t="n">
        <v>1956.74</v>
      </c>
      <c r="J321" s="32" t="n">
        <f aca="false">F321*G321*H321</f>
        <v>1956.7421698656</v>
      </c>
      <c r="K321" s="32" t="n">
        <f aca="false">J321-I321</f>
        <v>0.00216986560008081</v>
      </c>
      <c r="L321" s="28" t="n">
        <f aca="false">IF(B321=1,12,IF(B321=2,MIN(MAX(D321,1),60),6))</f>
        <v>12</v>
      </c>
      <c r="M321" s="11" t="n">
        <f aca="false">IF(B321=3,1,IFERROR(INDEX(PD_TermStructure!$C$2:$C$241,MATCH(C321&amp;"|"&amp;L321,PD_TermStructure!$D$2:$D$241,0)),0))</f>
        <v>0.164153</v>
      </c>
      <c r="N321" s="22" t="n">
        <f aca="false">(1+E321/100)^(-(L321/12)/2)</f>
        <v>0.936298395662032</v>
      </c>
      <c r="O321" s="32" t="n">
        <f aca="false">IF(H321&lt;=0,0,M321*Assumptions!$B$3*H321*N321)</f>
        <v>11298.9689845935</v>
      </c>
      <c r="P321" s="25" t="n">
        <v>11298.97</v>
      </c>
      <c r="Q321" s="32" t="n">
        <f aca="false">O321-P321</f>
        <v>-0.00101540648756782</v>
      </c>
    </row>
    <row r="322" customFormat="false" ht="15" hidden="false" customHeight="false" outlineLevel="0" collapsed="false">
      <c r="A322" s="14" t="s">
        <v>491</v>
      </c>
      <c r="B322" s="14" t="n">
        <v>1</v>
      </c>
      <c r="C322" s="14" t="s">
        <v>154</v>
      </c>
      <c r="D322" s="14" t="n">
        <v>0</v>
      </c>
      <c r="E322" s="14" t="n">
        <v>14.28</v>
      </c>
      <c r="F322" s="31" t="n">
        <v>0.0241</v>
      </c>
      <c r="G322" s="31" t="n">
        <v>0.5483</v>
      </c>
      <c r="H322" s="25" t="n">
        <v>0</v>
      </c>
      <c r="I322" s="25" t="n">
        <v>0</v>
      </c>
      <c r="J322" s="32" t="n">
        <f aca="false">F322*G322*H322</f>
        <v>0</v>
      </c>
      <c r="K322" s="32" t="n">
        <f aca="false">J322-I322</f>
        <v>0</v>
      </c>
      <c r="L322" s="28" t="n">
        <f aca="false">IF(B322=1,12,IF(B322=2,MIN(MAX(D322,1),60),6))</f>
        <v>12</v>
      </c>
      <c r="M322" s="11" t="n">
        <f aca="false">IF(B322=3,1,IFERROR(INDEX(PD_TermStructure!$C$2:$C$241,MATCH(C322&amp;"|"&amp;L322,PD_TermStructure!$D$2:$D$241,0)),0))</f>
        <v>0.109872</v>
      </c>
      <c r="N322" s="22" t="n">
        <f aca="false">(1+E322/100)^(-(L322/12)/2)</f>
        <v>0.93543773292914</v>
      </c>
      <c r="O322" s="32" t="n">
        <f aca="false">IF(H322&lt;=0,0,M322*Assumptions!$B$3*H322*N322)</f>
        <v>0</v>
      </c>
      <c r="P322" s="25" t="n">
        <v>0</v>
      </c>
      <c r="Q322" s="32" t="n">
        <f aca="false">O322-P322</f>
        <v>0</v>
      </c>
    </row>
    <row r="323" customFormat="false" ht="15" hidden="false" customHeight="false" outlineLevel="0" collapsed="false">
      <c r="A323" s="14" t="s">
        <v>492</v>
      </c>
      <c r="B323" s="14" t="n">
        <v>1</v>
      </c>
      <c r="C323" s="14" t="s">
        <v>154</v>
      </c>
      <c r="D323" s="14" t="n">
        <v>20</v>
      </c>
      <c r="E323" s="14" t="n">
        <v>11.94</v>
      </c>
      <c r="F323" s="31" t="n">
        <v>0.0245</v>
      </c>
      <c r="G323" s="31" t="n">
        <v>0.6022</v>
      </c>
      <c r="H323" s="25" t="n">
        <v>451649.35</v>
      </c>
      <c r="I323" s="25" t="n">
        <v>6663.59</v>
      </c>
      <c r="J323" s="32" t="n">
        <f aca="false">F323*G323*H323</f>
        <v>6663.589344965</v>
      </c>
      <c r="K323" s="32" t="n">
        <f aca="false">J323-I323</f>
        <v>-0.000655034999908821</v>
      </c>
      <c r="L323" s="28" t="n">
        <f aca="false">IF(B323=1,12,IF(B323=2,MIN(MAX(D323,1),60),6))</f>
        <v>12</v>
      </c>
      <c r="M323" s="11" t="n">
        <f aca="false">IF(B323=3,1,IFERROR(INDEX(PD_TermStructure!$C$2:$C$241,MATCH(C323&amp;"|"&amp;L323,PD_TermStructure!$D$2:$D$241,0)),0))</f>
        <v>0.109872</v>
      </c>
      <c r="N323" s="22" t="n">
        <f aca="false">(1+E323/100)^(-(L323/12)/2)</f>
        <v>0.945164385470543</v>
      </c>
      <c r="O323" s="32" t="n">
        <f aca="false">IF(H323&lt;=0,0,M323*Assumptions!$B$3*H323*N323)</f>
        <v>19451.3746777132</v>
      </c>
      <c r="P323" s="25" t="n">
        <v>19451.37</v>
      </c>
      <c r="Q323" s="32" t="n">
        <f aca="false">O323-P323</f>
        <v>0.00467771319017629</v>
      </c>
    </row>
    <row r="324" customFormat="false" ht="15" hidden="false" customHeight="false" outlineLevel="0" collapsed="false">
      <c r="A324" s="14" t="s">
        <v>493</v>
      </c>
      <c r="B324" s="14" t="n">
        <v>1</v>
      </c>
      <c r="C324" s="14" t="s">
        <v>154</v>
      </c>
      <c r="D324" s="14" t="n">
        <v>22</v>
      </c>
      <c r="E324" s="14" t="n">
        <v>10.75</v>
      </c>
      <c r="F324" s="31" t="n">
        <v>0.0221</v>
      </c>
      <c r="G324" s="31" t="n">
        <v>0.4734</v>
      </c>
      <c r="H324" s="25" t="n">
        <v>767763.69</v>
      </c>
      <c r="I324" s="25" t="n">
        <v>8032.45</v>
      </c>
      <c r="J324" s="32" t="n">
        <f aca="false">F324*G324*H324</f>
        <v>8032.4512116966</v>
      </c>
      <c r="K324" s="32" t="n">
        <f aca="false">J324-I324</f>
        <v>0.00121169659996667</v>
      </c>
      <c r="L324" s="28" t="n">
        <f aca="false">IF(B324=1,12,IF(B324=2,MIN(MAX(D324,1),60),6))</f>
        <v>12</v>
      </c>
      <c r="M324" s="11" t="n">
        <f aca="false">IF(B324=3,1,IFERROR(INDEX(PD_TermStructure!$C$2:$C$241,MATCH(C324&amp;"|"&amp;L324,PD_TermStructure!$D$2:$D$241,0)),0))</f>
        <v>0.109872</v>
      </c>
      <c r="N324" s="22" t="n">
        <f aca="false">(1+E324/100)^(-(L324/12)/2)</f>
        <v>0.95022867629116</v>
      </c>
      <c r="O324" s="32" t="n">
        <f aca="false">IF(H324&lt;=0,0,M324*Assumptions!$B$3*H324*N324)</f>
        <v>33242.7744400601</v>
      </c>
      <c r="P324" s="25" t="n">
        <v>33242.77</v>
      </c>
      <c r="Q324" s="32" t="n">
        <f aca="false">O324-P324</f>
        <v>0.00444006005272968</v>
      </c>
    </row>
    <row r="325" customFormat="false" ht="15" hidden="false" customHeight="false" outlineLevel="0" collapsed="false">
      <c r="A325" s="14" t="s">
        <v>494</v>
      </c>
      <c r="B325" s="14" t="n">
        <v>1</v>
      </c>
      <c r="C325" s="14" t="s">
        <v>154</v>
      </c>
      <c r="D325" s="14" t="n">
        <v>0</v>
      </c>
      <c r="E325" s="14" t="n">
        <v>14.14</v>
      </c>
      <c r="F325" s="31" t="n">
        <v>0.0243</v>
      </c>
      <c r="G325" s="31" t="n">
        <v>0.4188</v>
      </c>
      <c r="H325" s="25" t="n">
        <v>0</v>
      </c>
      <c r="I325" s="25" t="n">
        <v>0</v>
      </c>
      <c r="J325" s="32" t="n">
        <f aca="false">F325*G325*H325</f>
        <v>0</v>
      </c>
      <c r="K325" s="32" t="n">
        <f aca="false">J325-I325</f>
        <v>0</v>
      </c>
      <c r="L325" s="28" t="n">
        <f aca="false">IF(B325=1,12,IF(B325=2,MIN(MAX(D325,1),60),6))</f>
        <v>12</v>
      </c>
      <c r="M325" s="11" t="n">
        <f aca="false">IF(B325=3,1,IFERROR(INDEX(PD_TermStructure!$C$2:$C$241,MATCH(C325&amp;"|"&amp;L325,PD_TermStructure!$D$2:$D$241,0)),0))</f>
        <v>0.109872</v>
      </c>
      <c r="N325" s="22" t="n">
        <f aca="false">(1+E325/100)^(-(L325/12)/2)</f>
        <v>0.936011244183412</v>
      </c>
      <c r="O325" s="32" t="n">
        <f aca="false">IF(H325&lt;=0,0,M325*Assumptions!$B$3*H325*N325)</f>
        <v>0</v>
      </c>
      <c r="P325" s="25" t="n">
        <v>0</v>
      </c>
      <c r="Q325" s="32" t="n">
        <f aca="false">O325-P325</f>
        <v>0</v>
      </c>
    </row>
    <row r="326" customFormat="false" ht="15" hidden="false" customHeight="false" outlineLevel="0" collapsed="false">
      <c r="A326" s="14" t="s">
        <v>495</v>
      </c>
      <c r="B326" s="14" t="n">
        <v>2</v>
      </c>
      <c r="C326" s="14" t="s">
        <v>156</v>
      </c>
      <c r="D326" s="14" t="n">
        <v>0</v>
      </c>
      <c r="E326" s="14" t="n">
        <v>9.11</v>
      </c>
      <c r="F326" s="31" t="n">
        <v>0.1439</v>
      </c>
      <c r="G326" s="31" t="n">
        <v>0.6078</v>
      </c>
      <c r="H326" s="25" t="n">
        <v>0</v>
      </c>
      <c r="I326" s="25" t="n">
        <v>0</v>
      </c>
      <c r="J326" s="32" t="n">
        <f aca="false">F326*G326*H326</f>
        <v>0</v>
      </c>
      <c r="K326" s="32" t="n">
        <f aca="false">J326-I326</f>
        <v>0</v>
      </c>
      <c r="L326" s="28" t="n">
        <f aca="false">IF(B326=1,12,IF(B326=2,MIN(MAX(D326,1),60),6))</f>
        <v>1</v>
      </c>
      <c r="M326" s="11" t="n">
        <f aca="false">IF(B326=3,1,IFERROR(INDEX(PD_TermStructure!$C$2:$C$241,MATCH(C326&amp;"|"&amp;L326,PD_TermStructure!$D$2:$D$241,0)),0))</f>
        <v>0</v>
      </c>
      <c r="N326" s="22" t="n">
        <f aca="false">(1+E326/100)^(-(L326/12)/2)</f>
        <v>0.996373825438067</v>
      </c>
      <c r="O326" s="32" t="n">
        <f aca="false">IF(H326&lt;=0,0,M326*Assumptions!$B$3*H326*N326)</f>
        <v>0</v>
      </c>
      <c r="P326" s="25" t="n">
        <v>0</v>
      </c>
      <c r="Q326" s="32" t="n">
        <f aca="false">O326-P326</f>
        <v>0</v>
      </c>
    </row>
    <row r="327" customFormat="false" ht="15" hidden="false" customHeight="false" outlineLevel="0" collapsed="false">
      <c r="A327" s="14" t="s">
        <v>496</v>
      </c>
      <c r="B327" s="14" t="n">
        <v>1</v>
      </c>
      <c r="C327" s="14" t="s">
        <v>154</v>
      </c>
      <c r="D327" s="14" t="n">
        <v>56</v>
      </c>
      <c r="E327" s="14" t="n">
        <v>9.45</v>
      </c>
      <c r="F327" s="31" t="n">
        <v>0.0217</v>
      </c>
      <c r="G327" s="31" t="n">
        <v>0.4497</v>
      </c>
      <c r="H327" s="25" t="n">
        <v>644925.97</v>
      </c>
      <c r="I327" s="25" t="n">
        <v>6293.5</v>
      </c>
      <c r="J327" s="32" t="n">
        <f aca="false">F327*G327*H327</f>
        <v>6293.5036289853</v>
      </c>
      <c r="K327" s="32" t="n">
        <f aca="false">J327-I327</f>
        <v>0.00362898529965605</v>
      </c>
      <c r="L327" s="28" t="n">
        <f aca="false">IF(B327=1,12,IF(B327=2,MIN(MAX(D327,1),60),6))</f>
        <v>12</v>
      </c>
      <c r="M327" s="11" t="n">
        <f aca="false">IF(B327=3,1,IFERROR(INDEX(PD_TermStructure!$C$2:$C$241,MATCH(C327&amp;"|"&amp;L327,PD_TermStructure!$D$2:$D$241,0)),0))</f>
        <v>0.109872</v>
      </c>
      <c r="N327" s="22" t="n">
        <f aca="false">(1+E327/100)^(-(L327/12)/2)</f>
        <v>0.955855221838795</v>
      </c>
      <c r="O327" s="32" t="n">
        <f aca="false">IF(H327&lt;=0,0,M327*Assumptions!$B$3*H327*N327)</f>
        <v>28089.4699271171</v>
      </c>
      <c r="P327" s="25" t="n">
        <v>28089.47</v>
      </c>
      <c r="Q327" s="32" t="n">
        <f aca="false">O327-P327</f>
        <v>-7.28828854335006E-005</v>
      </c>
    </row>
    <row r="328" customFormat="false" ht="15" hidden="false" customHeight="false" outlineLevel="0" collapsed="false">
      <c r="A328" s="14" t="s">
        <v>497</v>
      </c>
      <c r="B328" s="14" t="n">
        <v>2</v>
      </c>
      <c r="C328" s="14" t="s">
        <v>156</v>
      </c>
      <c r="D328" s="14" t="n">
        <v>8</v>
      </c>
      <c r="E328" s="14" t="n">
        <v>7.91</v>
      </c>
      <c r="F328" s="31" t="n">
        <v>0.121</v>
      </c>
      <c r="G328" s="31" t="n">
        <v>0.6076</v>
      </c>
      <c r="H328" s="25" t="n">
        <v>337072.24</v>
      </c>
      <c r="I328" s="25" t="n">
        <v>24781.42</v>
      </c>
      <c r="J328" s="32" t="n">
        <f aca="false">F328*G328*H328</f>
        <v>24781.416255904</v>
      </c>
      <c r="K328" s="32" t="n">
        <f aca="false">J328-I328</f>
        <v>-0.00374409599680803</v>
      </c>
      <c r="L328" s="28" t="n">
        <f aca="false">IF(B328=1,12,IF(B328=2,MIN(MAX(D328,1),60),6))</f>
        <v>8</v>
      </c>
      <c r="M328" s="11" t="n">
        <f aca="false">IF(B328=3,1,IFERROR(INDEX(PD_TermStructure!$C$2:$C$241,MATCH(C328&amp;"|"&amp;L328,PD_TermStructure!$D$2:$D$241,0)),0))</f>
        <v>0.925498</v>
      </c>
      <c r="N328" s="22" t="n">
        <f aca="false">(1+E328/100)^(-(L328/12)/2)</f>
        <v>0.974943472297449</v>
      </c>
      <c r="O328" s="32" t="n">
        <f aca="false">IF(H328&lt;=0,0,M328*Assumptions!$B$3*H328*N328)</f>
        <v>126134.078484073</v>
      </c>
      <c r="P328" s="25" t="n">
        <v>126134.08</v>
      </c>
      <c r="Q328" s="32" t="n">
        <f aca="false">O328-P328</f>
        <v>-0.0015159272152232</v>
      </c>
    </row>
    <row r="329" customFormat="false" ht="15" hidden="false" customHeight="false" outlineLevel="0" collapsed="false">
      <c r="A329" s="14" t="s">
        <v>498</v>
      </c>
      <c r="B329" s="14" t="n">
        <v>1</v>
      </c>
      <c r="C329" s="14" t="s">
        <v>154</v>
      </c>
      <c r="D329" s="14" t="n">
        <v>37</v>
      </c>
      <c r="E329" s="14" t="n">
        <v>10.97</v>
      </c>
      <c r="F329" s="31" t="n">
        <v>0.0157</v>
      </c>
      <c r="G329" s="31" t="n">
        <v>0.507</v>
      </c>
      <c r="H329" s="25" t="n">
        <v>1039200.83</v>
      </c>
      <c r="I329" s="25" t="n">
        <v>8271.93</v>
      </c>
      <c r="J329" s="32" t="n">
        <f aca="false">F329*G329*H329</f>
        <v>8271.934686717</v>
      </c>
      <c r="K329" s="32" t="n">
        <f aca="false">J329-I329</f>
        <v>0.00468671699854895</v>
      </c>
      <c r="L329" s="28" t="n">
        <f aca="false">IF(B329=1,12,IF(B329=2,MIN(MAX(D329,1),60),6))</f>
        <v>12</v>
      </c>
      <c r="M329" s="11" t="n">
        <f aca="false">IF(B329=3,1,IFERROR(INDEX(PD_TermStructure!$C$2:$C$241,MATCH(C329&amp;"|"&amp;L329,PD_TermStructure!$D$2:$D$241,0)),0))</f>
        <v>0.109872</v>
      </c>
      <c r="N329" s="22" t="n">
        <f aca="false">(1+E329/100)^(-(L329/12)/2)</f>
        <v>0.949286286351957</v>
      </c>
      <c r="O329" s="32" t="n">
        <f aca="false">IF(H329&lt;=0,0,M329*Assumptions!$B$3*H329*N329)</f>
        <v>44950.8856703566</v>
      </c>
      <c r="P329" s="25" t="n">
        <v>44950.89</v>
      </c>
      <c r="Q329" s="32" t="n">
        <f aca="false">O329-P329</f>
        <v>-0.00432964341598563</v>
      </c>
    </row>
    <row r="330" customFormat="false" ht="15" hidden="false" customHeight="false" outlineLevel="0" collapsed="false">
      <c r="A330" s="14" t="s">
        <v>499</v>
      </c>
      <c r="B330" s="14" t="n">
        <v>1</v>
      </c>
      <c r="C330" s="14" t="s">
        <v>154</v>
      </c>
      <c r="D330" s="14" t="n">
        <v>17</v>
      </c>
      <c r="E330" s="14" t="n">
        <v>10.79</v>
      </c>
      <c r="F330" s="31" t="n">
        <v>0.0215</v>
      </c>
      <c r="G330" s="31" t="n">
        <v>0.6284</v>
      </c>
      <c r="H330" s="25" t="n">
        <v>232261.68</v>
      </c>
      <c r="I330" s="25" t="n">
        <v>3137.99</v>
      </c>
      <c r="J330" s="32" t="n">
        <f aca="false">F330*G330*H330</f>
        <v>3137.994653808</v>
      </c>
      <c r="K330" s="32" t="n">
        <f aca="false">J330-I330</f>
        <v>0.00465380799960258</v>
      </c>
      <c r="L330" s="28" t="n">
        <f aca="false">IF(B330=1,12,IF(B330=2,MIN(MAX(D330,1),60),6))</f>
        <v>12</v>
      </c>
      <c r="M330" s="11" t="n">
        <f aca="false">IF(B330=3,1,IFERROR(INDEX(PD_TermStructure!$C$2:$C$241,MATCH(C330&amp;"|"&amp;L330,PD_TermStructure!$D$2:$D$241,0)),0))</f>
        <v>0.109872</v>
      </c>
      <c r="N330" s="22" t="n">
        <f aca="false">(1+E330/100)^(-(L330/12)/2)</f>
        <v>0.950057123901914</v>
      </c>
      <c r="O330" s="32" t="n">
        <f aca="false">IF(H330&lt;=0,0,M330*Assumptions!$B$3*H330*N330)</f>
        <v>10054.6936535742</v>
      </c>
      <c r="P330" s="25" t="n">
        <v>10054.69</v>
      </c>
      <c r="Q330" s="32" t="n">
        <f aca="false">O330-P330</f>
        <v>0.0036535741892294</v>
      </c>
    </row>
    <row r="331" customFormat="false" ht="15" hidden="false" customHeight="false" outlineLevel="0" collapsed="false">
      <c r="A331" s="14" t="s">
        <v>500</v>
      </c>
      <c r="B331" s="14" t="n">
        <v>3</v>
      </c>
      <c r="C331" s="14" t="s">
        <v>182</v>
      </c>
      <c r="D331" s="14" t="n">
        <v>30</v>
      </c>
      <c r="E331" s="14" t="n">
        <v>9.46</v>
      </c>
      <c r="F331" s="31" t="n">
        <v>0.6681</v>
      </c>
      <c r="G331" s="31" t="n">
        <v>0.4926</v>
      </c>
      <c r="H331" s="25" t="n">
        <v>271619.13</v>
      </c>
      <c r="I331" s="25" t="n">
        <v>89391.5</v>
      </c>
      <c r="J331" s="32" t="n">
        <f aca="false">F331*G331*H331</f>
        <v>89391.5016949278</v>
      </c>
      <c r="K331" s="32" t="n">
        <f aca="false">J331-I331</f>
        <v>0.00169492779241409</v>
      </c>
      <c r="L331" s="28" t="n">
        <f aca="false">IF(B331=1,12,IF(B331=2,MIN(MAX(D331,1),60),6))</f>
        <v>6</v>
      </c>
      <c r="M331" s="11" t="n">
        <f aca="false">IF(B331=3,1,IFERROR(INDEX(PD_TermStructure!$C$2:$C$241,MATCH(C331&amp;"|"&amp;L331,PD_TermStructure!$D$2:$D$241,0)),0))</f>
        <v>1</v>
      </c>
      <c r="N331" s="22" t="n">
        <f aca="false">(1+E331/100)^(-(L331/12)/2)</f>
        <v>0.9776561555755</v>
      </c>
      <c r="O331" s="32" t="n">
        <f aca="false">IF(H331&lt;=0,0,M331*Assumptions!$B$3*H331*N331)</f>
        <v>110128.829660896</v>
      </c>
      <c r="P331" s="25" t="n">
        <v>110128.83</v>
      </c>
      <c r="Q331" s="32" t="n">
        <f aca="false">O331-P331</f>
        <v>-0.00033910371712409</v>
      </c>
    </row>
    <row r="332" customFormat="false" ht="15" hidden="false" customHeight="false" outlineLevel="0" collapsed="false">
      <c r="A332" s="14" t="s">
        <v>501</v>
      </c>
      <c r="B332" s="14" t="n">
        <v>1</v>
      </c>
      <c r="C332" s="14" t="s">
        <v>154</v>
      </c>
      <c r="D332" s="14" t="n">
        <v>58</v>
      </c>
      <c r="E332" s="14" t="n">
        <v>12.44</v>
      </c>
      <c r="F332" s="31" t="n">
        <v>0.0161</v>
      </c>
      <c r="G332" s="31" t="n">
        <v>0.6098</v>
      </c>
      <c r="H332" s="25" t="n">
        <v>327821.57</v>
      </c>
      <c r="I332" s="25" t="n">
        <v>3218.48</v>
      </c>
      <c r="J332" s="32" t="n">
        <f aca="false">F332*G332*H332</f>
        <v>3218.4800535146</v>
      </c>
      <c r="K332" s="32" t="n">
        <f aca="false">J332-I332</f>
        <v>5.35146000402165E-005</v>
      </c>
      <c r="L332" s="28" t="n">
        <f aca="false">IF(B332=1,12,IF(B332=2,MIN(MAX(D332,1),60),6))</f>
        <v>12</v>
      </c>
      <c r="M332" s="11" t="n">
        <f aca="false">IF(B332=3,1,IFERROR(INDEX(PD_TermStructure!$C$2:$C$241,MATCH(C332&amp;"|"&amp;L332,PD_TermStructure!$D$2:$D$241,0)),0))</f>
        <v>0.109872</v>
      </c>
      <c r="N332" s="22" t="n">
        <f aca="false">(1+E332/100)^(-(L332/12)/2)</f>
        <v>0.9430605579375</v>
      </c>
      <c r="O332" s="32" t="n">
        <f aca="false">IF(H332&lt;=0,0,M332*Assumptions!$B$3*H332*N332)</f>
        <v>14087.0049946115</v>
      </c>
      <c r="P332" s="25" t="n">
        <v>14087</v>
      </c>
      <c r="Q332" s="32" t="n">
        <f aca="false">O332-P332</f>
        <v>0.00499461146500835</v>
      </c>
    </row>
    <row r="333" customFormat="false" ht="15" hidden="false" customHeight="false" outlineLevel="0" collapsed="false">
      <c r="A333" s="14" t="s">
        <v>502</v>
      </c>
      <c r="B333" s="14" t="n">
        <v>1</v>
      </c>
      <c r="C333" s="14" t="s">
        <v>154</v>
      </c>
      <c r="D333" s="14" t="n">
        <v>15</v>
      </c>
      <c r="E333" s="14" t="n">
        <v>7.54</v>
      </c>
      <c r="F333" s="31" t="n">
        <v>0.026</v>
      </c>
      <c r="G333" s="31" t="n">
        <v>0.5397</v>
      </c>
      <c r="H333" s="25" t="n">
        <v>113583.55</v>
      </c>
      <c r="I333" s="25" t="n">
        <v>1593.83</v>
      </c>
      <c r="J333" s="32" t="n">
        <f aca="false">F333*G333*H333</f>
        <v>1593.82709031</v>
      </c>
      <c r="K333" s="32" t="n">
        <f aca="false">J333-I333</f>
        <v>-0.00290969000002406</v>
      </c>
      <c r="L333" s="28" t="n">
        <f aca="false">IF(B333=1,12,IF(B333=2,MIN(MAX(D333,1),60),6))</f>
        <v>12</v>
      </c>
      <c r="M333" s="11" t="n">
        <f aca="false">IF(B333=3,1,IFERROR(INDEX(PD_TermStructure!$C$2:$C$241,MATCH(C333&amp;"|"&amp;L333,PD_TermStructure!$D$2:$D$241,0)),0))</f>
        <v>0.109872</v>
      </c>
      <c r="N333" s="22" t="n">
        <f aca="false">(1+E333/100)^(-(L333/12)/2)</f>
        <v>0.96430625521171</v>
      </c>
      <c r="O333" s="32" t="n">
        <f aca="false">IF(H333&lt;=0,0,M333*Assumptions!$B$3*H333*N333)</f>
        <v>4990.82087958784</v>
      </c>
      <c r="P333" s="25" t="n">
        <v>4990.82</v>
      </c>
      <c r="Q333" s="32" t="n">
        <f aca="false">O333-P333</f>
        <v>0.000879587841154716</v>
      </c>
    </row>
    <row r="334" customFormat="false" ht="15" hidden="false" customHeight="false" outlineLevel="0" collapsed="false">
      <c r="A334" s="14" t="s">
        <v>503</v>
      </c>
      <c r="B334" s="14" t="n">
        <v>1</v>
      </c>
      <c r="C334" s="14" t="s">
        <v>155</v>
      </c>
      <c r="D334" s="14" t="n">
        <v>29</v>
      </c>
      <c r="E334" s="14" t="n">
        <v>13.34</v>
      </c>
      <c r="F334" s="31" t="n">
        <v>0.019</v>
      </c>
      <c r="G334" s="31" t="n">
        <v>0.5503</v>
      </c>
      <c r="H334" s="25" t="n">
        <v>435825.19</v>
      </c>
      <c r="I334" s="25" t="n">
        <v>4556.86</v>
      </c>
      <c r="J334" s="32" t="n">
        <f aca="false">F334*G334*H334</f>
        <v>4556.857439083</v>
      </c>
      <c r="K334" s="32" t="n">
        <f aca="false">J334-I334</f>
        <v>-0.00256091699975514</v>
      </c>
      <c r="L334" s="28" t="n">
        <f aca="false">IF(B334=1,12,IF(B334=2,MIN(MAX(D334,1),60),6))</f>
        <v>12</v>
      </c>
      <c r="M334" s="11" t="n">
        <f aca="false">IF(B334=3,1,IFERROR(INDEX(PD_TermStructure!$C$2:$C$241,MATCH(C334&amp;"|"&amp;L334,PD_TermStructure!$D$2:$D$241,0)),0))</f>
        <v>0.164153</v>
      </c>
      <c r="N334" s="22" t="n">
        <f aca="false">(1+E334/100)^(-(L334/12)/2)</f>
        <v>0.939308810304273</v>
      </c>
      <c r="O334" s="32" t="n">
        <f aca="false">IF(H334&lt;=0,0,M334*Assumptions!$B$3*H334*N334)</f>
        <v>27869.1728579135</v>
      </c>
      <c r="P334" s="25" t="n">
        <v>27869.17</v>
      </c>
      <c r="Q334" s="32" t="n">
        <f aca="false">O334-P334</f>
        <v>0.00285791351416265</v>
      </c>
    </row>
    <row r="335" customFormat="false" ht="15" hidden="false" customHeight="false" outlineLevel="0" collapsed="false">
      <c r="A335" s="14" t="s">
        <v>504</v>
      </c>
      <c r="B335" s="14" t="n">
        <v>1</v>
      </c>
      <c r="C335" s="14" t="s">
        <v>154</v>
      </c>
      <c r="D335" s="14" t="n">
        <v>20</v>
      </c>
      <c r="E335" s="14" t="n">
        <v>9.68</v>
      </c>
      <c r="F335" s="31" t="n">
        <v>0.0235</v>
      </c>
      <c r="G335" s="31" t="n">
        <v>0.4153</v>
      </c>
      <c r="H335" s="25" t="n">
        <v>526708.84</v>
      </c>
      <c r="I335" s="25" t="n">
        <v>5140.44</v>
      </c>
      <c r="J335" s="32" t="n">
        <f aca="false">F335*G335*H335</f>
        <v>5140.441259422</v>
      </c>
      <c r="K335" s="32" t="n">
        <f aca="false">J335-I335</f>
        <v>0.00125942200065765</v>
      </c>
      <c r="L335" s="28" t="n">
        <f aca="false">IF(B335=1,12,IF(B335=2,MIN(MAX(D335,1),60),6))</f>
        <v>12</v>
      </c>
      <c r="M335" s="11" t="n">
        <f aca="false">IF(B335=3,1,IFERROR(INDEX(PD_TermStructure!$C$2:$C$241,MATCH(C335&amp;"|"&amp;L335,PD_TermStructure!$D$2:$D$241,0)),0))</f>
        <v>0.109872</v>
      </c>
      <c r="N335" s="22" t="n">
        <f aca="false">(1+E335/100)^(-(L335/12)/2)</f>
        <v>0.954852477139755</v>
      </c>
      <c r="O335" s="32" t="n">
        <f aca="false">IF(H335&lt;=0,0,M335*Assumptions!$B$3*H335*N335)</f>
        <v>22916.508358407</v>
      </c>
      <c r="P335" s="25" t="n">
        <v>22916.51</v>
      </c>
      <c r="Q335" s="32" t="n">
        <f aca="false">O335-P335</f>
        <v>-0.00164159301493783</v>
      </c>
    </row>
    <row r="336" customFormat="false" ht="15" hidden="false" customHeight="false" outlineLevel="0" collapsed="false">
      <c r="A336" s="14" t="s">
        <v>505</v>
      </c>
      <c r="B336" s="14" t="n">
        <v>1</v>
      </c>
      <c r="C336" s="14" t="s">
        <v>154</v>
      </c>
      <c r="D336" s="14" t="n">
        <v>23</v>
      </c>
      <c r="E336" s="14" t="n">
        <v>10.4</v>
      </c>
      <c r="F336" s="31" t="n">
        <v>0.0144</v>
      </c>
      <c r="G336" s="31" t="n">
        <v>0.6004</v>
      </c>
      <c r="H336" s="25" t="n">
        <v>333145.2</v>
      </c>
      <c r="I336" s="25" t="n">
        <v>2880.29</v>
      </c>
      <c r="J336" s="32" t="n">
        <f aca="false">F336*G336*H336</f>
        <v>2880.293444352</v>
      </c>
      <c r="K336" s="32" t="n">
        <f aca="false">J336-I336</f>
        <v>0.00344435200031512</v>
      </c>
      <c r="L336" s="28" t="n">
        <f aca="false">IF(B336=1,12,IF(B336=2,MIN(MAX(D336,1),60),6))</f>
        <v>12</v>
      </c>
      <c r="M336" s="11" t="n">
        <f aca="false">IF(B336=3,1,IFERROR(INDEX(PD_TermStructure!$C$2:$C$241,MATCH(C336&amp;"|"&amp;L336,PD_TermStructure!$D$2:$D$241,0)),0))</f>
        <v>0.109872</v>
      </c>
      <c r="N336" s="22" t="n">
        <f aca="false">(1+E336/100)^(-(L336/12)/2)</f>
        <v>0.951733734533601</v>
      </c>
      <c r="O336" s="32" t="n">
        <f aca="false">IF(H336&lt;=0,0,M336*Assumptions!$B$3*H336*N336)</f>
        <v>14447.4295287009</v>
      </c>
      <c r="P336" s="25" t="n">
        <v>14447.43</v>
      </c>
      <c r="Q336" s="32" t="n">
        <f aca="false">O336-P336</f>
        <v>-0.000471299088530941</v>
      </c>
    </row>
    <row r="337" customFormat="false" ht="15" hidden="false" customHeight="false" outlineLevel="0" collapsed="false">
      <c r="A337" s="14" t="s">
        <v>506</v>
      </c>
      <c r="B337" s="14" t="n">
        <v>2</v>
      </c>
      <c r="C337" s="14" t="s">
        <v>156</v>
      </c>
      <c r="D337" s="14" t="n">
        <v>60</v>
      </c>
      <c r="E337" s="14" t="n">
        <v>8.48</v>
      </c>
      <c r="F337" s="31" t="n">
        <v>0.1381</v>
      </c>
      <c r="G337" s="31" t="n">
        <v>0.4817</v>
      </c>
      <c r="H337" s="25" t="n">
        <v>628829.29</v>
      </c>
      <c r="I337" s="25" t="n">
        <v>41831.47</v>
      </c>
      <c r="J337" s="32" t="n">
        <f aca="false">F337*G337*H337</f>
        <v>41831.4662279333</v>
      </c>
      <c r="K337" s="32" t="n">
        <f aca="false">J337-I337</f>
        <v>-0.00377206669509178</v>
      </c>
      <c r="L337" s="28" t="n">
        <f aca="false">IF(B337=1,12,IF(B337=2,MIN(MAX(D337,1),60),6))</f>
        <v>60</v>
      </c>
      <c r="M337" s="11" t="n">
        <f aca="false">IF(B337=3,1,IFERROR(INDEX(PD_TermStructure!$C$2:$C$241,MATCH(C337&amp;"|"&amp;L337,PD_TermStructure!$D$2:$D$241,0)),0))</f>
        <v>1</v>
      </c>
      <c r="N337" s="22" t="n">
        <f aca="false">(1+E337/100)^(-(L337/12)/2)</f>
        <v>0.815879101019677</v>
      </c>
      <c r="O337" s="32" t="n">
        <f aca="false">IF(H337&lt;=0,0,M337*Assumptions!$B$3*H337*N337)</f>
        <v>212771.326991414</v>
      </c>
      <c r="P337" s="25" t="n">
        <v>212771.33</v>
      </c>
      <c r="Q337" s="32" t="n">
        <f aca="false">O337-P337</f>
        <v>-0.0030085856851656</v>
      </c>
    </row>
    <row r="338" customFormat="false" ht="15" hidden="false" customHeight="false" outlineLevel="0" collapsed="false">
      <c r="A338" s="14" t="s">
        <v>507</v>
      </c>
      <c r="B338" s="14" t="n">
        <v>1</v>
      </c>
      <c r="C338" s="14" t="s">
        <v>154</v>
      </c>
      <c r="D338" s="14" t="n">
        <v>28</v>
      </c>
      <c r="E338" s="14" t="n">
        <v>12.84</v>
      </c>
      <c r="F338" s="31" t="n">
        <v>0.0156</v>
      </c>
      <c r="G338" s="31" t="n">
        <v>0.4499</v>
      </c>
      <c r="H338" s="25" t="n">
        <v>957436.61</v>
      </c>
      <c r="I338" s="25" t="n">
        <v>6719.71</v>
      </c>
      <c r="J338" s="32" t="n">
        <f aca="false">F338*G338*H338</f>
        <v>6719.7114010884</v>
      </c>
      <c r="K338" s="32" t="n">
        <f aca="false">J338-I338</f>
        <v>0.00140108839968889</v>
      </c>
      <c r="L338" s="28" t="n">
        <f aca="false">IF(B338=1,12,IF(B338=2,MIN(MAX(D338,1),60),6))</f>
        <v>12</v>
      </c>
      <c r="M338" s="11" t="n">
        <f aca="false">IF(B338=3,1,IFERROR(INDEX(PD_TermStructure!$C$2:$C$241,MATCH(C338&amp;"|"&amp;L338,PD_TermStructure!$D$2:$D$241,0)),0))</f>
        <v>0.109872</v>
      </c>
      <c r="N338" s="22" t="n">
        <f aca="false">(1+E338/100)^(-(L338/12)/2)</f>
        <v>0.941387573547643</v>
      </c>
      <c r="O338" s="32" t="n">
        <f aca="false">IF(H338&lt;=0,0,M338*Assumptions!$B$3*H338*N338)</f>
        <v>41069.5602067698</v>
      </c>
      <c r="P338" s="25" t="n">
        <v>41069.56</v>
      </c>
      <c r="Q338" s="32" t="n">
        <f aca="false">O338-P338</f>
        <v>0.000206769815122243</v>
      </c>
    </row>
    <row r="339" customFormat="false" ht="15" hidden="false" customHeight="false" outlineLevel="0" collapsed="false">
      <c r="A339" s="14" t="s">
        <v>508</v>
      </c>
      <c r="B339" s="14" t="n">
        <v>1</v>
      </c>
      <c r="C339" s="14" t="s">
        <v>154</v>
      </c>
      <c r="D339" s="14" t="n">
        <v>34</v>
      </c>
      <c r="E339" s="14" t="n">
        <v>13.5</v>
      </c>
      <c r="F339" s="31" t="n">
        <v>0.0232</v>
      </c>
      <c r="G339" s="31" t="n">
        <v>0.3787</v>
      </c>
      <c r="H339" s="25" t="n">
        <v>441874.06</v>
      </c>
      <c r="I339" s="25" t="n">
        <v>3882.23</v>
      </c>
      <c r="J339" s="32" t="n">
        <f aca="false">F339*G339*H339</f>
        <v>3882.2347913104</v>
      </c>
      <c r="K339" s="32" t="n">
        <f aca="false">J339-I339</f>
        <v>0.00479131039992353</v>
      </c>
      <c r="L339" s="28" t="n">
        <f aca="false">IF(B339=1,12,IF(B339=2,MIN(MAX(D339,1),60),6))</f>
        <v>12</v>
      </c>
      <c r="M339" s="11" t="n">
        <f aca="false">IF(B339=3,1,IFERROR(INDEX(PD_TermStructure!$C$2:$C$241,MATCH(C339&amp;"|"&amp;L339,PD_TermStructure!$D$2:$D$241,0)),0))</f>
        <v>0.109872</v>
      </c>
      <c r="N339" s="22" t="n">
        <f aca="false">(1+E339/100)^(-(L339/12)/2)</f>
        <v>0.938646508927864</v>
      </c>
      <c r="O339" s="32" t="n">
        <f aca="false">IF(H339&lt;=0,0,M339*Assumptions!$B$3*H339*N339)</f>
        <v>18899.1441557924</v>
      </c>
      <c r="P339" s="25" t="n">
        <v>18899.14</v>
      </c>
      <c r="Q339" s="32" t="n">
        <f aca="false">O339-P339</f>
        <v>0.00415579237960628</v>
      </c>
    </row>
    <row r="340" customFormat="false" ht="15" hidden="false" customHeight="false" outlineLevel="0" collapsed="false">
      <c r="A340" s="14" t="s">
        <v>509</v>
      </c>
      <c r="B340" s="14" t="n">
        <v>1</v>
      </c>
      <c r="C340" s="14" t="s">
        <v>154</v>
      </c>
      <c r="D340" s="14" t="n">
        <v>38</v>
      </c>
      <c r="E340" s="14" t="n">
        <v>12.87</v>
      </c>
      <c r="F340" s="31" t="n">
        <v>0.0177</v>
      </c>
      <c r="G340" s="31" t="n">
        <v>0.5526</v>
      </c>
      <c r="H340" s="25" t="n">
        <v>514507.77</v>
      </c>
      <c r="I340" s="25" t="n">
        <v>5032.41</v>
      </c>
      <c r="J340" s="32" t="n">
        <f aca="false">F340*G340*H340</f>
        <v>5032.4107885254</v>
      </c>
      <c r="K340" s="32" t="n">
        <f aca="false">J340-I340</f>
        <v>0.000788525399912032</v>
      </c>
      <c r="L340" s="28" t="n">
        <f aca="false">IF(B340=1,12,IF(B340=2,MIN(MAX(D340,1),60),6))</f>
        <v>12</v>
      </c>
      <c r="M340" s="11" t="n">
        <f aca="false">IF(B340=3,1,IFERROR(INDEX(PD_TermStructure!$C$2:$C$241,MATCH(C340&amp;"|"&amp;L340,PD_TermStructure!$D$2:$D$241,0)),0))</f>
        <v>0.109872</v>
      </c>
      <c r="N340" s="22" t="n">
        <f aca="false">(1+E340/100)^(-(L340/12)/2)</f>
        <v>0.94126245835291</v>
      </c>
      <c r="O340" s="32" t="n">
        <f aca="false">IF(H340&lt;=0,0,M340*Assumptions!$B$3*H340*N340)</f>
        <v>22067.0478347929</v>
      </c>
      <c r="P340" s="25" t="n">
        <v>22067.05</v>
      </c>
      <c r="Q340" s="32" t="n">
        <f aca="false">O340-P340</f>
        <v>-0.00216520706817391</v>
      </c>
    </row>
    <row r="341" customFormat="false" ht="15" hidden="false" customHeight="false" outlineLevel="0" collapsed="false">
      <c r="A341" s="14" t="s">
        <v>510</v>
      </c>
      <c r="B341" s="14" t="n">
        <v>1</v>
      </c>
      <c r="C341" s="14" t="s">
        <v>154</v>
      </c>
      <c r="D341" s="14" t="n">
        <v>0</v>
      </c>
      <c r="E341" s="14" t="n">
        <v>8.63</v>
      </c>
      <c r="F341" s="31" t="n">
        <v>0.0241</v>
      </c>
      <c r="G341" s="31" t="n">
        <v>0.6415</v>
      </c>
      <c r="H341" s="25" t="n">
        <v>0</v>
      </c>
      <c r="I341" s="25" t="n">
        <v>0</v>
      </c>
      <c r="J341" s="32" t="n">
        <f aca="false">F341*G341*H341</f>
        <v>0</v>
      </c>
      <c r="K341" s="32" t="n">
        <f aca="false">J341-I341</f>
        <v>0</v>
      </c>
      <c r="L341" s="28" t="n">
        <f aca="false">IF(B341=1,12,IF(B341=2,MIN(MAX(D341,1),60),6))</f>
        <v>12</v>
      </c>
      <c r="M341" s="11" t="n">
        <f aca="false">IF(B341=3,1,IFERROR(INDEX(PD_TermStructure!$C$2:$C$241,MATCH(C341&amp;"|"&amp;L341,PD_TermStructure!$D$2:$D$241,0)),0))</f>
        <v>0.109872</v>
      </c>
      <c r="N341" s="22" t="n">
        <f aca="false">(1+E341/100)^(-(L341/12)/2)</f>
        <v>0.95945610417234</v>
      </c>
      <c r="O341" s="32" t="n">
        <f aca="false">IF(H341&lt;=0,0,M341*Assumptions!$B$3*H341*N341)</f>
        <v>0</v>
      </c>
      <c r="P341" s="25" t="n">
        <v>0</v>
      </c>
      <c r="Q341" s="32" t="n">
        <f aca="false">O341-P341</f>
        <v>0</v>
      </c>
    </row>
    <row r="342" customFormat="false" ht="15" hidden="false" customHeight="false" outlineLevel="0" collapsed="false">
      <c r="A342" s="14" t="s">
        <v>511</v>
      </c>
      <c r="B342" s="14" t="n">
        <v>1</v>
      </c>
      <c r="C342" s="14" t="s">
        <v>154</v>
      </c>
      <c r="D342" s="14" t="n">
        <v>13</v>
      </c>
      <c r="E342" s="14" t="n">
        <v>10.75</v>
      </c>
      <c r="F342" s="31" t="n">
        <v>0.0179</v>
      </c>
      <c r="G342" s="31" t="n">
        <v>0.5408</v>
      </c>
      <c r="H342" s="25" t="n">
        <v>383699.9</v>
      </c>
      <c r="I342" s="25" t="n">
        <v>3714.34</v>
      </c>
      <c r="J342" s="32" t="n">
        <f aca="false">F342*G342*H342</f>
        <v>3714.337815968</v>
      </c>
      <c r="K342" s="32" t="n">
        <f aca="false">J342-I342</f>
        <v>-0.00218403200005923</v>
      </c>
      <c r="L342" s="28" t="n">
        <f aca="false">IF(B342=1,12,IF(B342=2,MIN(MAX(D342,1),60),6))</f>
        <v>12</v>
      </c>
      <c r="M342" s="11" t="n">
        <f aca="false">IF(B342=3,1,IFERROR(INDEX(PD_TermStructure!$C$2:$C$241,MATCH(C342&amp;"|"&amp;L342,PD_TermStructure!$D$2:$D$241,0)),0))</f>
        <v>0.109872</v>
      </c>
      <c r="N342" s="22" t="n">
        <f aca="false">(1+E342/100)^(-(L342/12)/2)</f>
        <v>0.95022867629116</v>
      </c>
      <c r="O342" s="32" t="n">
        <f aca="false">IF(H342&lt;=0,0,M342*Assumptions!$B$3*H342*N342)</f>
        <v>16613.5093317237</v>
      </c>
      <c r="P342" s="25" t="n">
        <v>16613.51</v>
      </c>
      <c r="Q342" s="32" t="n">
        <f aca="false">O342-P342</f>
        <v>-0.00066827632690547</v>
      </c>
    </row>
    <row r="343" customFormat="false" ht="15" hidden="false" customHeight="false" outlineLevel="0" collapsed="false">
      <c r="A343" s="14" t="s">
        <v>512</v>
      </c>
      <c r="B343" s="14" t="n">
        <v>1</v>
      </c>
      <c r="C343" s="14" t="s">
        <v>154</v>
      </c>
      <c r="D343" s="14" t="n">
        <v>45</v>
      </c>
      <c r="E343" s="14" t="n">
        <v>11.48</v>
      </c>
      <c r="F343" s="31" t="n">
        <v>0.024</v>
      </c>
      <c r="G343" s="31" t="n">
        <v>0.48</v>
      </c>
      <c r="H343" s="25" t="n">
        <v>719413.31</v>
      </c>
      <c r="I343" s="25" t="n">
        <v>8287.64</v>
      </c>
      <c r="J343" s="32" t="n">
        <f aca="false">F343*G343*H343</f>
        <v>8287.6413312</v>
      </c>
      <c r="K343" s="32" t="n">
        <f aca="false">J343-I343</f>
        <v>0.00133120000100462</v>
      </c>
      <c r="L343" s="28" t="n">
        <f aca="false">IF(B343=1,12,IF(B343=2,MIN(MAX(D343,1),60),6))</f>
        <v>12</v>
      </c>
      <c r="M343" s="11" t="n">
        <f aca="false">IF(B343=3,1,IFERROR(INDEX(PD_TermStructure!$C$2:$C$241,MATCH(C343&amp;"|"&amp;L343,PD_TermStructure!$D$2:$D$241,0)),0))</f>
        <v>0.109872</v>
      </c>
      <c r="N343" s="22" t="n">
        <f aca="false">(1+E343/100)^(-(L343/12)/2)</f>
        <v>0.947112394245821</v>
      </c>
      <c r="O343" s="32" t="n">
        <f aca="false">IF(H343&lt;=0,0,M343*Assumptions!$B$3*H343*N343)</f>
        <v>31047.1364005438</v>
      </c>
      <c r="P343" s="25" t="n">
        <v>31047.14</v>
      </c>
      <c r="Q343" s="32" t="n">
        <f aca="false">O343-P343</f>
        <v>-0.00359945616582991</v>
      </c>
    </row>
    <row r="344" customFormat="false" ht="15" hidden="false" customHeight="false" outlineLevel="0" collapsed="false">
      <c r="A344" s="14" t="s">
        <v>513</v>
      </c>
      <c r="B344" s="14" t="n">
        <v>1</v>
      </c>
      <c r="C344" s="14" t="s">
        <v>154</v>
      </c>
      <c r="D344" s="14" t="n">
        <v>19</v>
      </c>
      <c r="E344" s="14" t="n">
        <v>9.44</v>
      </c>
      <c r="F344" s="31" t="n">
        <v>0.0152</v>
      </c>
      <c r="G344" s="31" t="n">
        <v>0.4174</v>
      </c>
      <c r="H344" s="25" t="n">
        <v>514175.62</v>
      </c>
      <c r="I344" s="25" t="n">
        <v>3262.18</v>
      </c>
      <c r="J344" s="32" t="n">
        <f aca="false">F344*G344*H344</f>
        <v>3262.1769375776</v>
      </c>
      <c r="K344" s="32" t="n">
        <f aca="false">J344-I344</f>
        <v>-0.00306242240003485</v>
      </c>
      <c r="L344" s="28" t="n">
        <f aca="false">IF(B344=1,12,IF(B344=2,MIN(MAX(D344,1),60),6))</f>
        <v>12</v>
      </c>
      <c r="M344" s="11" t="n">
        <f aca="false">IF(B344=3,1,IFERROR(INDEX(PD_TermStructure!$C$2:$C$241,MATCH(C344&amp;"|"&amp;L344,PD_TermStructure!$D$2:$D$241,0)),0))</f>
        <v>0.109872</v>
      </c>
      <c r="N344" s="22" t="n">
        <f aca="false">(1+E344/100)^(-(L344/12)/2)</f>
        <v>0.955898891127341</v>
      </c>
      <c r="O344" s="32" t="n">
        <f aca="false">IF(H344&lt;=0,0,M344*Assumptions!$B$3*H344*N344)</f>
        <v>22395.7184664634</v>
      </c>
      <c r="P344" s="25" t="n">
        <v>22395.72</v>
      </c>
      <c r="Q344" s="32" t="n">
        <f aca="false">O344-P344</f>
        <v>-0.00153353664063616</v>
      </c>
    </row>
    <row r="345" customFormat="false" ht="15" hidden="false" customHeight="false" outlineLevel="0" collapsed="false">
      <c r="A345" s="14" t="s">
        <v>514</v>
      </c>
      <c r="B345" s="14" t="n">
        <v>1</v>
      </c>
      <c r="C345" s="14" t="s">
        <v>154</v>
      </c>
      <c r="D345" s="14" t="n">
        <v>57</v>
      </c>
      <c r="E345" s="14" t="n">
        <v>9.74</v>
      </c>
      <c r="F345" s="31" t="n">
        <v>0.023</v>
      </c>
      <c r="G345" s="31" t="n">
        <v>0.5089</v>
      </c>
      <c r="H345" s="25" t="n">
        <v>1975192.39</v>
      </c>
      <c r="I345" s="25" t="n">
        <v>23119.03</v>
      </c>
      <c r="J345" s="32" t="n">
        <f aca="false">F345*G345*H345</f>
        <v>23119.034367233</v>
      </c>
      <c r="K345" s="32" t="n">
        <f aca="false">J345-I345</f>
        <v>0.00436723299935693</v>
      </c>
      <c r="L345" s="28" t="n">
        <f aca="false">IF(B345=1,12,IF(B345=2,MIN(MAX(D345,1),60),6))</f>
        <v>12</v>
      </c>
      <c r="M345" s="11" t="n">
        <f aca="false">IF(B345=3,1,IFERROR(INDEX(PD_TermStructure!$C$2:$C$241,MATCH(C345&amp;"|"&amp;L345,PD_TermStructure!$D$2:$D$241,0)),0))</f>
        <v>0.109872</v>
      </c>
      <c r="N345" s="22" t="n">
        <f aca="false">(1+E345/100)^(-(L345/12)/2)</f>
        <v>0.95459141015548</v>
      </c>
      <c r="O345" s="32" t="n">
        <f aca="false">IF(H345&lt;=0,0,M345*Assumptions!$B$3*H345*N345)</f>
        <v>85914.8996018184</v>
      </c>
      <c r="P345" s="25" t="n">
        <v>85914.9</v>
      </c>
      <c r="Q345" s="32" t="n">
        <f aca="false">O345-P345</f>
        <v>-0.000398181553464383</v>
      </c>
    </row>
    <row r="346" customFormat="false" ht="15" hidden="false" customHeight="false" outlineLevel="0" collapsed="false">
      <c r="A346" s="14" t="s">
        <v>515</v>
      </c>
      <c r="B346" s="14" t="n">
        <v>1</v>
      </c>
      <c r="C346" s="14" t="s">
        <v>154</v>
      </c>
      <c r="D346" s="14" t="n">
        <v>65</v>
      </c>
      <c r="E346" s="14" t="n">
        <v>14.43</v>
      </c>
      <c r="F346" s="31" t="n">
        <v>0.0206</v>
      </c>
      <c r="G346" s="31" t="n">
        <v>0.4556</v>
      </c>
      <c r="H346" s="25" t="n">
        <v>603659.91</v>
      </c>
      <c r="I346" s="25" t="n">
        <v>5665.57</v>
      </c>
      <c r="J346" s="32" t="n">
        <f aca="false">F346*G346*H346</f>
        <v>5665.5655729176</v>
      </c>
      <c r="K346" s="32" t="n">
        <f aca="false">J346-I346</f>
        <v>-0.00442708239916101</v>
      </c>
      <c r="L346" s="28" t="n">
        <f aca="false">IF(B346=1,12,IF(B346=2,MIN(MAX(D346,1),60),6))</f>
        <v>12</v>
      </c>
      <c r="M346" s="11" t="n">
        <f aca="false">IF(B346=3,1,IFERROR(INDEX(PD_TermStructure!$C$2:$C$241,MATCH(C346&amp;"|"&amp;L346,PD_TermStructure!$D$2:$D$241,0)),0))</f>
        <v>0.109872</v>
      </c>
      <c r="N346" s="22" t="n">
        <f aca="false">(1+E346/100)^(-(L346/12)/2)</f>
        <v>0.934824424910593</v>
      </c>
      <c r="O346" s="32" t="n">
        <f aca="false">IF(H346&lt;=0,0,M346*Assumptions!$B$3*H346*N346)</f>
        <v>25713.6629431788</v>
      </c>
      <c r="P346" s="25" t="n">
        <v>25713.66</v>
      </c>
      <c r="Q346" s="32" t="n">
        <f aca="false">O346-P346</f>
        <v>0.00294317881343886</v>
      </c>
    </row>
    <row r="347" customFormat="false" ht="15" hidden="false" customHeight="false" outlineLevel="0" collapsed="false">
      <c r="A347" s="14" t="s">
        <v>516</v>
      </c>
      <c r="B347" s="14" t="n">
        <v>1</v>
      </c>
      <c r="C347" s="14" t="s">
        <v>154</v>
      </c>
      <c r="D347" s="14" t="n">
        <v>62</v>
      </c>
      <c r="E347" s="14" t="n">
        <v>8.6</v>
      </c>
      <c r="F347" s="31" t="n">
        <v>0.0212</v>
      </c>
      <c r="G347" s="31" t="n">
        <v>0.5696</v>
      </c>
      <c r="H347" s="25" t="n">
        <v>1850907.54</v>
      </c>
      <c r="I347" s="25" t="n">
        <v>22350.67</v>
      </c>
      <c r="J347" s="32" t="n">
        <f aca="false">F347*G347*H347</f>
        <v>22350.6710174208</v>
      </c>
      <c r="K347" s="32" t="n">
        <f aca="false">J347-I347</f>
        <v>0.00101742080005351</v>
      </c>
      <c r="L347" s="28" t="n">
        <f aca="false">IF(B347=1,12,IF(B347=2,MIN(MAX(D347,1),60),6))</f>
        <v>12</v>
      </c>
      <c r="M347" s="11" t="n">
        <f aca="false">IF(B347=3,1,IFERROR(INDEX(PD_TermStructure!$C$2:$C$241,MATCH(C347&amp;"|"&amp;L347,PD_TermStructure!$D$2:$D$241,0)),0))</f>
        <v>0.109872</v>
      </c>
      <c r="N347" s="22" t="n">
        <f aca="false">(1+E347/100)^(-(L347/12)/2)</f>
        <v>0.959588616582912</v>
      </c>
      <c r="O347" s="32" t="n">
        <f aca="false">IF(H347&lt;=0,0,M347*Assumptions!$B$3*H347*N347)</f>
        <v>80930.3415317397</v>
      </c>
      <c r="P347" s="25" t="n">
        <v>80930.34</v>
      </c>
      <c r="Q347" s="32" t="n">
        <f aca="false">O347-P347</f>
        <v>0.00153173967555631</v>
      </c>
    </row>
    <row r="348" customFormat="false" ht="15" hidden="false" customHeight="false" outlineLevel="0" collapsed="false">
      <c r="A348" s="14" t="s">
        <v>517</v>
      </c>
      <c r="B348" s="14" t="n">
        <v>1</v>
      </c>
      <c r="C348" s="14" t="s">
        <v>154</v>
      </c>
      <c r="D348" s="14" t="n">
        <v>16</v>
      </c>
      <c r="E348" s="14" t="n">
        <v>12.56</v>
      </c>
      <c r="F348" s="31" t="n">
        <v>0.0245</v>
      </c>
      <c r="G348" s="31" t="n">
        <v>0.6227</v>
      </c>
      <c r="H348" s="25" t="n">
        <v>296863.37</v>
      </c>
      <c r="I348" s="25" t="n">
        <v>4528.99</v>
      </c>
      <c r="J348" s="32" t="n">
        <f aca="false">F348*G348*H348</f>
        <v>4528.9921022255</v>
      </c>
      <c r="K348" s="32" t="n">
        <f aca="false">J348-I348</f>
        <v>0.00210222550049366</v>
      </c>
      <c r="L348" s="28" t="n">
        <f aca="false">IF(B348=1,12,IF(B348=2,MIN(MAX(D348,1),60),6))</f>
        <v>12</v>
      </c>
      <c r="M348" s="11" t="n">
        <f aca="false">IF(B348=3,1,IFERROR(INDEX(PD_TermStructure!$C$2:$C$241,MATCH(C348&amp;"|"&amp;L348,PD_TermStructure!$D$2:$D$241,0)),0))</f>
        <v>0.109872</v>
      </c>
      <c r="N348" s="22" t="n">
        <f aca="false">(1+E348/100)^(-(L348/12)/2)</f>
        <v>0.942557726359264</v>
      </c>
      <c r="O348" s="32" t="n">
        <f aca="false">IF(H348&lt;=0,0,M348*Assumptions!$B$3*H348*N348)</f>
        <v>12749.8810260441</v>
      </c>
      <c r="P348" s="25" t="n">
        <v>12749.88</v>
      </c>
      <c r="Q348" s="32" t="n">
        <f aca="false">O348-P348</f>
        <v>0.00102604408857587</v>
      </c>
    </row>
    <row r="349" customFormat="false" ht="15" hidden="false" customHeight="false" outlineLevel="0" collapsed="false">
      <c r="A349" s="14" t="s">
        <v>518</v>
      </c>
      <c r="B349" s="14" t="n">
        <v>1</v>
      </c>
      <c r="C349" s="14" t="s">
        <v>154</v>
      </c>
      <c r="D349" s="14" t="n">
        <v>70</v>
      </c>
      <c r="E349" s="14" t="n">
        <v>12.03</v>
      </c>
      <c r="F349" s="31" t="n">
        <v>0.0242</v>
      </c>
      <c r="G349" s="31" t="n">
        <v>0.5774</v>
      </c>
      <c r="H349" s="25" t="n">
        <v>2109529.6</v>
      </c>
      <c r="I349" s="25" t="n">
        <v>29476.63</v>
      </c>
      <c r="J349" s="32" t="n">
        <f aca="false">F349*G349*H349</f>
        <v>29476.625863168</v>
      </c>
      <c r="K349" s="32" t="n">
        <f aca="false">J349-I349</f>
        <v>-0.00413683199803927</v>
      </c>
      <c r="L349" s="28" t="n">
        <f aca="false">IF(B349=1,12,IF(B349=2,MIN(MAX(D349,1),60),6))</f>
        <v>12</v>
      </c>
      <c r="M349" s="11" t="n">
        <f aca="false">IF(B349=3,1,IFERROR(INDEX(PD_TermStructure!$C$2:$C$241,MATCH(C349&amp;"|"&amp;L349,PD_TermStructure!$D$2:$D$241,0)),0))</f>
        <v>0.109872</v>
      </c>
      <c r="N349" s="22" t="n">
        <f aca="false">(1+E349/100)^(-(L349/12)/2)</f>
        <v>0.944784657335705</v>
      </c>
      <c r="O349" s="32" t="n">
        <f aca="false">IF(H349&lt;=0,0,M349*Assumptions!$B$3*H349*N349)</f>
        <v>90815.508032237</v>
      </c>
      <c r="P349" s="25" t="n">
        <v>90815.51</v>
      </c>
      <c r="Q349" s="32" t="n">
        <f aca="false">O349-P349</f>
        <v>-0.00196776303346269</v>
      </c>
    </row>
    <row r="350" customFormat="false" ht="15" hidden="false" customHeight="false" outlineLevel="0" collapsed="false">
      <c r="A350" s="14" t="s">
        <v>519</v>
      </c>
      <c r="B350" s="14" t="n">
        <v>1</v>
      </c>
      <c r="C350" s="14" t="s">
        <v>154</v>
      </c>
      <c r="D350" s="14" t="n">
        <v>43</v>
      </c>
      <c r="E350" s="14" t="n">
        <v>12.77</v>
      </c>
      <c r="F350" s="31" t="n">
        <v>0.0226</v>
      </c>
      <c r="G350" s="31" t="n">
        <v>0.442</v>
      </c>
      <c r="H350" s="25" t="n">
        <v>994073.77</v>
      </c>
      <c r="I350" s="25" t="n">
        <v>9930</v>
      </c>
      <c r="J350" s="32" t="n">
        <f aca="false">F350*G350*H350</f>
        <v>9930.001703284</v>
      </c>
      <c r="K350" s="32" t="n">
        <f aca="false">J350-I350</f>
        <v>0.00170328400054132</v>
      </c>
      <c r="L350" s="28" t="n">
        <f aca="false">IF(B350=1,12,IF(B350=2,MIN(MAX(D350,1),60),6))</f>
        <v>12</v>
      </c>
      <c r="M350" s="11" t="n">
        <f aca="false">IF(B350=3,1,IFERROR(INDEX(PD_TermStructure!$C$2:$C$241,MATCH(C350&amp;"|"&amp;L350,PD_TermStructure!$D$2:$D$241,0)),0))</f>
        <v>0.109872</v>
      </c>
      <c r="N350" s="22" t="n">
        <f aca="false">(1+E350/100)^(-(L350/12)/2)</f>
        <v>0.941679703135294</v>
      </c>
      <c r="O350" s="32" t="n">
        <f aca="false">IF(H350&lt;=0,0,M350*Assumptions!$B$3*H350*N350)</f>
        <v>42654.3556200624</v>
      </c>
      <c r="P350" s="25" t="n">
        <v>42654.36</v>
      </c>
      <c r="Q350" s="32" t="n">
        <f aca="false">O350-P350</f>
        <v>-0.00437993762170663</v>
      </c>
    </row>
    <row r="351" customFormat="false" ht="15" hidden="false" customHeight="false" outlineLevel="0" collapsed="false">
      <c r="A351" s="14" t="s">
        <v>520</v>
      </c>
      <c r="B351" s="14" t="n">
        <v>3</v>
      </c>
      <c r="C351" s="14" t="s">
        <v>182</v>
      </c>
      <c r="D351" s="14" t="n">
        <v>11</v>
      </c>
      <c r="E351" s="14" t="n">
        <v>11.58</v>
      </c>
      <c r="F351" s="31" t="n">
        <v>0.6844</v>
      </c>
      <c r="G351" s="31" t="n">
        <v>0.6191</v>
      </c>
      <c r="H351" s="25" t="n">
        <v>214947.85</v>
      </c>
      <c r="I351" s="25" t="n">
        <v>91075.99</v>
      </c>
      <c r="J351" s="32" t="n">
        <f aca="false">F351*G351*H351</f>
        <v>91075.992017114</v>
      </c>
      <c r="K351" s="32" t="n">
        <f aca="false">J351-I351</f>
        <v>0.00201711400586646</v>
      </c>
      <c r="L351" s="28" t="n">
        <f aca="false">IF(B351=1,12,IF(B351=2,MIN(MAX(D351,1),60),6))</f>
        <v>6</v>
      </c>
      <c r="M351" s="11" t="n">
        <f aca="false">IF(B351=3,1,IFERROR(INDEX(PD_TermStructure!$C$2:$C$241,MATCH(C351&amp;"|"&amp;L351,PD_TermStructure!$D$2:$D$241,0)),0))</f>
        <v>1</v>
      </c>
      <c r="N351" s="22" t="n">
        <f aca="false">(1+E351/100)^(-(L351/12)/2)</f>
        <v>0.972978874150558</v>
      </c>
      <c r="O351" s="32" t="n">
        <f aca="false">IF(H351&lt;=0,0,M351*Assumptions!$B$3*H351*N351)</f>
        <v>86734.3338555376</v>
      </c>
      <c r="P351" s="25" t="n">
        <v>86734.33</v>
      </c>
      <c r="Q351" s="32" t="n">
        <f aca="false">O351-P351</f>
        <v>0.00385553763771895</v>
      </c>
    </row>
    <row r="352" customFormat="false" ht="15" hidden="false" customHeight="false" outlineLevel="0" collapsed="false">
      <c r="A352" s="14" t="s">
        <v>521</v>
      </c>
      <c r="B352" s="14" t="n">
        <v>1</v>
      </c>
      <c r="C352" s="14" t="s">
        <v>154</v>
      </c>
      <c r="D352" s="14" t="n">
        <v>47</v>
      </c>
      <c r="E352" s="14" t="n">
        <v>13.79</v>
      </c>
      <c r="F352" s="31" t="n">
        <v>0.0169</v>
      </c>
      <c r="G352" s="31" t="n">
        <v>0.5892</v>
      </c>
      <c r="H352" s="25" t="n">
        <v>892357</v>
      </c>
      <c r="I352" s="25" t="n">
        <v>8885.63</v>
      </c>
      <c r="J352" s="32" t="n">
        <f aca="false">F352*G352*H352</f>
        <v>8885.62698036</v>
      </c>
      <c r="K352" s="32" t="n">
        <f aca="false">J352-I352</f>
        <v>-0.00301964000209409</v>
      </c>
      <c r="L352" s="28" t="n">
        <f aca="false">IF(B352=1,12,IF(B352=2,MIN(MAX(D352,1),60),6))</f>
        <v>12</v>
      </c>
      <c r="M352" s="11" t="n">
        <f aca="false">IF(B352=3,1,IFERROR(INDEX(PD_TermStructure!$C$2:$C$241,MATCH(C352&amp;"|"&amp;L352,PD_TermStructure!$D$2:$D$241,0)),0))</f>
        <v>0.109872</v>
      </c>
      <c r="N352" s="22" t="n">
        <f aca="false">(1+E352/100)^(-(L352/12)/2)</f>
        <v>0.937449650052572</v>
      </c>
      <c r="O352" s="32" t="n">
        <f aca="false">IF(H352&lt;=0,0,M352*Assumptions!$B$3*H352*N352)</f>
        <v>38117.8281041634</v>
      </c>
      <c r="P352" s="25" t="n">
        <v>38117.83</v>
      </c>
      <c r="Q352" s="32" t="n">
        <f aca="false">O352-P352</f>
        <v>-0.0018958366199513</v>
      </c>
    </row>
    <row r="353" customFormat="false" ht="15" hidden="false" customHeight="false" outlineLevel="0" collapsed="false">
      <c r="A353" s="14" t="s">
        <v>522</v>
      </c>
      <c r="B353" s="14" t="n">
        <v>1</v>
      </c>
      <c r="C353" s="14" t="s">
        <v>154</v>
      </c>
      <c r="D353" s="14" t="n">
        <v>44</v>
      </c>
      <c r="E353" s="14" t="n">
        <v>11.16</v>
      </c>
      <c r="F353" s="31" t="n">
        <v>0.0176</v>
      </c>
      <c r="G353" s="31" t="n">
        <v>0.3529</v>
      </c>
      <c r="H353" s="25" t="n">
        <v>1275807.65</v>
      </c>
      <c r="I353" s="25" t="n">
        <v>7924.09</v>
      </c>
      <c r="J353" s="32" t="n">
        <f aca="false">F353*G353*H353</f>
        <v>7924.092346456</v>
      </c>
      <c r="K353" s="32" t="n">
        <f aca="false">J353-I353</f>
        <v>0.0023464559990316</v>
      </c>
      <c r="L353" s="28" t="n">
        <f aca="false">IF(B353=1,12,IF(B353=2,MIN(MAX(D353,1),60),6))</f>
        <v>12</v>
      </c>
      <c r="M353" s="11" t="n">
        <f aca="false">IF(B353=3,1,IFERROR(INDEX(PD_TermStructure!$C$2:$C$241,MATCH(C353&amp;"|"&amp;L353,PD_TermStructure!$D$2:$D$241,0)),0))</f>
        <v>0.109872</v>
      </c>
      <c r="N353" s="22" t="n">
        <f aca="false">(1+E353/100)^(-(L353/12)/2)</f>
        <v>0.948474656574106</v>
      </c>
      <c r="O353" s="32" t="n">
        <f aca="false">IF(H353&lt;=0,0,M353*Assumptions!$B$3*H353*N353)</f>
        <v>55138.1885364722</v>
      </c>
      <c r="P353" s="25" t="n">
        <v>55138.19</v>
      </c>
      <c r="Q353" s="32" t="n">
        <f aca="false">O353-P353</f>
        <v>-0.00146352780575398</v>
      </c>
    </row>
    <row r="354" customFormat="false" ht="15" hidden="false" customHeight="false" outlineLevel="0" collapsed="false">
      <c r="A354" s="14" t="s">
        <v>523</v>
      </c>
      <c r="B354" s="14" t="n">
        <v>1</v>
      </c>
      <c r="C354" s="14" t="s">
        <v>154</v>
      </c>
      <c r="D354" s="14" t="n">
        <v>69</v>
      </c>
      <c r="E354" s="14" t="n">
        <v>11.92</v>
      </c>
      <c r="F354" s="31" t="n">
        <v>0.016</v>
      </c>
      <c r="G354" s="31" t="n">
        <v>0.3697</v>
      </c>
      <c r="H354" s="25" t="n">
        <v>2136953.36</v>
      </c>
      <c r="I354" s="25" t="n">
        <v>12640.51</v>
      </c>
      <c r="J354" s="32" t="n">
        <f aca="false">F354*G354*H354</f>
        <v>12640.506515072</v>
      </c>
      <c r="K354" s="32" t="n">
        <f aca="false">J354-I354</f>
        <v>-0.0034849280018534</v>
      </c>
      <c r="L354" s="28" t="n">
        <f aca="false">IF(B354=1,12,IF(B354=2,MIN(MAX(D354,1),60),6))</f>
        <v>12</v>
      </c>
      <c r="M354" s="11" t="n">
        <f aca="false">IF(B354=3,1,IFERROR(INDEX(PD_TermStructure!$C$2:$C$241,MATCH(C354&amp;"|"&amp;L354,PD_TermStructure!$D$2:$D$241,0)),0))</f>
        <v>0.109872</v>
      </c>
      <c r="N354" s="22" t="n">
        <f aca="false">(1+E354/100)^(-(L354/12)/2)</f>
        <v>0.945248831696797</v>
      </c>
      <c r="O354" s="32" t="n">
        <f aca="false">IF(H354&lt;=0,0,M354*Assumptions!$B$3*H354*N354)</f>
        <v>92041.3021115612</v>
      </c>
      <c r="P354" s="25" t="n">
        <v>92041.3</v>
      </c>
      <c r="Q354" s="32" t="n">
        <f aca="false">O354-P354</f>
        <v>0.00211156118893996</v>
      </c>
    </row>
    <row r="355" customFormat="false" ht="15" hidden="false" customHeight="false" outlineLevel="0" collapsed="false">
      <c r="A355" s="14" t="s">
        <v>524</v>
      </c>
      <c r="B355" s="14" t="n">
        <v>1</v>
      </c>
      <c r="C355" s="14" t="s">
        <v>154</v>
      </c>
      <c r="D355" s="14" t="n">
        <v>40</v>
      </c>
      <c r="E355" s="14" t="n">
        <v>8.22</v>
      </c>
      <c r="F355" s="31" t="n">
        <v>0.0167</v>
      </c>
      <c r="G355" s="31" t="n">
        <v>0.4289</v>
      </c>
      <c r="H355" s="25" t="n">
        <v>494303.6</v>
      </c>
      <c r="I355" s="25" t="n">
        <v>3540.51</v>
      </c>
      <c r="J355" s="32" t="n">
        <f aca="false">F355*G355*H355</f>
        <v>3540.513794468</v>
      </c>
      <c r="K355" s="32" t="n">
        <f aca="false">J355-I355</f>
        <v>0.00379446799934158</v>
      </c>
      <c r="L355" s="28" t="n">
        <f aca="false">IF(B355=1,12,IF(B355=2,MIN(MAX(D355,1),60),6))</f>
        <v>12</v>
      </c>
      <c r="M355" s="11" t="n">
        <f aca="false">IF(B355=3,1,IFERROR(INDEX(PD_TermStructure!$C$2:$C$241,MATCH(C355&amp;"|"&amp;L355,PD_TermStructure!$D$2:$D$241,0)),0))</f>
        <v>0.109872</v>
      </c>
      <c r="N355" s="22" t="n">
        <f aca="false">(1+E355/100)^(-(L355/12)/2)</f>
        <v>0.96127187353975</v>
      </c>
      <c r="O355" s="32" t="n">
        <f aca="false">IF(H355&lt;=0,0,M355*Assumptions!$B$3*H355*N355)</f>
        <v>21651.179960308</v>
      </c>
      <c r="P355" s="25" t="n">
        <v>21651.18</v>
      </c>
      <c r="Q355" s="32" t="n">
        <f aca="false">O355-P355</f>
        <v>-3.96920368075371E-005</v>
      </c>
    </row>
    <row r="356" customFormat="false" ht="15" hidden="false" customHeight="false" outlineLevel="0" collapsed="false">
      <c r="A356" s="14" t="s">
        <v>525</v>
      </c>
      <c r="B356" s="14" t="n">
        <v>1</v>
      </c>
      <c r="C356" s="14" t="s">
        <v>154</v>
      </c>
      <c r="D356" s="14" t="n">
        <v>48</v>
      </c>
      <c r="E356" s="14" t="n">
        <v>7.89</v>
      </c>
      <c r="F356" s="31" t="n">
        <v>0.0236</v>
      </c>
      <c r="G356" s="31" t="n">
        <v>0.5353</v>
      </c>
      <c r="H356" s="25" t="n">
        <v>1127288.51</v>
      </c>
      <c r="I356" s="25" t="n">
        <v>14241.13</v>
      </c>
      <c r="J356" s="32" t="n">
        <f aca="false">F356*G356*H356</f>
        <v>14241.1259299108</v>
      </c>
      <c r="K356" s="32" t="n">
        <f aca="false">J356-I356</f>
        <v>-0.00407008919864893</v>
      </c>
      <c r="L356" s="28" t="n">
        <f aca="false">IF(B356=1,12,IF(B356=2,MIN(MAX(D356,1),60),6))</f>
        <v>12</v>
      </c>
      <c r="M356" s="11" t="n">
        <f aca="false">IF(B356=3,1,IFERROR(INDEX(PD_TermStructure!$C$2:$C$241,MATCH(C356&amp;"|"&amp;L356,PD_TermStructure!$D$2:$D$241,0)),0))</f>
        <v>0.109872</v>
      </c>
      <c r="N356" s="22" t="n">
        <f aca="false">(1+E356/100)^(-(L356/12)/2)</f>
        <v>0.962740858250335</v>
      </c>
      <c r="O356" s="32" t="n">
        <f aca="false">IF(H356&lt;=0,0,M356*Assumptions!$B$3*H356*N356)</f>
        <v>49452.2487424788</v>
      </c>
      <c r="P356" s="25" t="n">
        <v>49452.25</v>
      </c>
      <c r="Q356" s="32" t="n">
        <f aca="false">O356-P356</f>
        <v>-0.0012575212167576</v>
      </c>
    </row>
    <row r="357" customFormat="false" ht="15" hidden="false" customHeight="false" outlineLevel="0" collapsed="false">
      <c r="A357" s="14" t="s">
        <v>526</v>
      </c>
      <c r="B357" s="14" t="n">
        <v>2</v>
      </c>
      <c r="C357" s="14" t="s">
        <v>157</v>
      </c>
      <c r="D357" s="14" t="n">
        <v>66</v>
      </c>
      <c r="E357" s="14" t="n">
        <v>9.25</v>
      </c>
      <c r="F357" s="31" t="n">
        <v>0.1156</v>
      </c>
      <c r="G357" s="31" t="n">
        <v>0.4484</v>
      </c>
      <c r="H357" s="25" t="n">
        <v>2407585.48</v>
      </c>
      <c r="I357" s="25" t="n">
        <v>124797.29</v>
      </c>
      <c r="J357" s="32" t="n">
        <f aca="false">F357*G357*H357</f>
        <v>124797.289659219</v>
      </c>
      <c r="K357" s="32" t="n">
        <f aca="false">J357-I357</f>
        <v>-0.000340780796250328</v>
      </c>
      <c r="L357" s="28" t="n">
        <f aca="false">IF(B357=1,12,IF(B357=2,MIN(MAX(D357,1),60),6))</f>
        <v>60</v>
      </c>
      <c r="M357" s="11" t="n">
        <f aca="false">IF(B357=3,1,IFERROR(INDEX(PD_TermStructure!$C$2:$C$241,MATCH(C357&amp;"|"&amp;L357,PD_TermStructure!$D$2:$D$241,0)),0))</f>
        <v>1</v>
      </c>
      <c r="N357" s="22" t="n">
        <f aca="false">(1+E357/100)^(-(L357/12)/2)</f>
        <v>0.801579101504332</v>
      </c>
      <c r="O357" s="32" t="n">
        <f aca="false">IF(H357&lt;=0,0,M357*Assumptions!$B$3*H357*N357)</f>
        <v>800354.944809614</v>
      </c>
      <c r="P357" s="25" t="n">
        <v>800354.94</v>
      </c>
      <c r="Q357" s="32" t="n">
        <f aca="false">O357-P357</f>
        <v>0.00480961450375617</v>
      </c>
    </row>
    <row r="358" customFormat="false" ht="15" hidden="false" customHeight="false" outlineLevel="0" collapsed="false">
      <c r="A358" s="14" t="s">
        <v>527</v>
      </c>
      <c r="B358" s="14" t="n">
        <v>1</v>
      </c>
      <c r="C358" s="14" t="s">
        <v>154</v>
      </c>
      <c r="D358" s="14" t="n">
        <v>19</v>
      </c>
      <c r="E358" s="14" t="n">
        <v>10.78</v>
      </c>
      <c r="F358" s="31" t="n">
        <v>0.0142</v>
      </c>
      <c r="G358" s="31" t="n">
        <v>0.4812</v>
      </c>
      <c r="H358" s="25" t="n">
        <v>584852.85</v>
      </c>
      <c r="I358" s="25" t="n">
        <v>3996.32</v>
      </c>
      <c r="J358" s="32" t="n">
        <f aca="false">F358*G358*H358</f>
        <v>3996.322918164</v>
      </c>
      <c r="K358" s="32" t="n">
        <f aca="false">J358-I358</f>
        <v>0.00291816399976597</v>
      </c>
      <c r="L358" s="28" t="n">
        <f aca="false">IF(B358=1,12,IF(B358=2,MIN(MAX(D358,1),60),6))</f>
        <v>12</v>
      </c>
      <c r="M358" s="11" t="n">
        <f aca="false">IF(B358=3,1,IFERROR(INDEX(PD_TermStructure!$C$2:$C$241,MATCH(C358&amp;"|"&amp;L358,PD_TermStructure!$D$2:$D$241,0)),0))</f>
        <v>0.109872</v>
      </c>
      <c r="N358" s="22" t="n">
        <f aca="false">(1+E358/100)^(-(L358/12)/2)</f>
        <v>0.950100003288296</v>
      </c>
      <c r="O358" s="32" t="n">
        <f aca="false">IF(H358&lt;=0,0,M358*Assumptions!$B$3*H358*N358)</f>
        <v>25319.6379503728</v>
      </c>
      <c r="P358" s="25" t="n">
        <v>25319.64</v>
      </c>
      <c r="Q358" s="32" t="n">
        <f aca="false">O358-P358</f>
        <v>-0.00204962715361035</v>
      </c>
    </row>
    <row r="359" customFormat="false" ht="15" hidden="false" customHeight="false" outlineLevel="0" collapsed="false">
      <c r="A359" s="14" t="s">
        <v>528</v>
      </c>
      <c r="B359" s="14" t="n">
        <v>1</v>
      </c>
      <c r="C359" s="14" t="s">
        <v>154</v>
      </c>
      <c r="D359" s="14" t="n">
        <v>61</v>
      </c>
      <c r="E359" s="14" t="n">
        <v>13.96</v>
      </c>
      <c r="F359" s="31" t="n">
        <v>0.0215</v>
      </c>
      <c r="G359" s="31" t="n">
        <v>0.467</v>
      </c>
      <c r="H359" s="25" t="n">
        <v>651249.15</v>
      </c>
      <c r="I359" s="25" t="n">
        <v>6538.87</v>
      </c>
      <c r="J359" s="32" t="n">
        <f aca="false">F359*G359*H359</f>
        <v>6538.867090575</v>
      </c>
      <c r="K359" s="32" t="n">
        <f aca="false">J359-I359</f>
        <v>-0.00290942500032543</v>
      </c>
      <c r="L359" s="28" t="n">
        <f aca="false">IF(B359=1,12,IF(B359=2,MIN(MAX(D359,1),60),6))</f>
        <v>12</v>
      </c>
      <c r="M359" s="11" t="n">
        <f aca="false">IF(B359=3,1,IFERROR(INDEX(PD_TermStructure!$C$2:$C$241,MATCH(C359&amp;"|"&amp;L359,PD_TermStructure!$D$2:$D$241,0)),0))</f>
        <v>0.109872</v>
      </c>
      <c r="N359" s="22" t="n">
        <f aca="false">(1+E359/100)^(-(L359/12)/2)</f>
        <v>0.936750168134961</v>
      </c>
      <c r="O359" s="32" t="n">
        <f aca="false">IF(H359&lt;=0,0,M359*Assumptions!$B$3*H359*N359)</f>
        <v>27797.9334181866</v>
      </c>
      <c r="P359" s="25" t="n">
        <v>27797.93</v>
      </c>
      <c r="Q359" s="32" t="n">
        <f aca="false">O359-P359</f>
        <v>0.00341818657398107</v>
      </c>
    </row>
    <row r="360" customFormat="false" ht="15" hidden="false" customHeight="false" outlineLevel="0" collapsed="false">
      <c r="A360" s="14" t="s">
        <v>529</v>
      </c>
      <c r="B360" s="14" t="n">
        <v>1</v>
      </c>
      <c r="C360" s="14" t="s">
        <v>154</v>
      </c>
      <c r="D360" s="14" t="n">
        <v>46</v>
      </c>
      <c r="E360" s="14" t="n">
        <v>9.66</v>
      </c>
      <c r="F360" s="31" t="n">
        <v>0.0245</v>
      </c>
      <c r="G360" s="31" t="n">
        <v>0.6333</v>
      </c>
      <c r="H360" s="25" t="n">
        <v>666743.15</v>
      </c>
      <c r="I360" s="25" t="n">
        <v>10345.09</v>
      </c>
      <c r="J360" s="32" t="n">
        <f aca="false">F360*G360*H360</f>
        <v>10345.0867039275</v>
      </c>
      <c r="K360" s="32" t="n">
        <f aca="false">J360-I360</f>
        <v>-0.003296072500234</v>
      </c>
      <c r="L360" s="28" t="n">
        <f aca="false">IF(B360=1,12,IF(B360=2,MIN(MAX(D360,1),60),6))</f>
        <v>12</v>
      </c>
      <c r="M360" s="11" t="n">
        <f aca="false">IF(B360=3,1,IFERROR(INDEX(PD_TermStructure!$C$2:$C$241,MATCH(C360&amp;"|"&amp;L360,PD_TermStructure!$D$2:$D$241,0)),0))</f>
        <v>0.109872</v>
      </c>
      <c r="N360" s="22" t="n">
        <f aca="false">(1+E360/100)^(-(L360/12)/2)</f>
        <v>0.954939547078125</v>
      </c>
      <c r="O360" s="32" t="n">
        <f aca="false">IF(H360&lt;=0,0,M360*Assumptions!$B$3*H360*N360)</f>
        <v>29011.8887157818</v>
      </c>
      <c r="P360" s="25" t="n">
        <v>29011.89</v>
      </c>
      <c r="Q360" s="32" t="n">
        <f aca="false">O360-P360</f>
        <v>-0.0012842181531596</v>
      </c>
    </row>
    <row r="361" customFormat="false" ht="15" hidden="false" customHeight="false" outlineLevel="0" collapsed="false">
      <c r="A361" s="14" t="s">
        <v>530</v>
      </c>
      <c r="B361" s="14" t="n">
        <v>1</v>
      </c>
      <c r="C361" s="14" t="s">
        <v>154</v>
      </c>
      <c r="D361" s="14" t="n">
        <v>33</v>
      </c>
      <c r="E361" s="14" t="n">
        <v>11.05</v>
      </c>
      <c r="F361" s="31" t="n">
        <v>0.0253</v>
      </c>
      <c r="G361" s="31" t="n">
        <v>0.3548</v>
      </c>
      <c r="H361" s="25" t="n">
        <v>1065120.99</v>
      </c>
      <c r="I361" s="25" t="n">
        <v>9560.99</v>
      </c>
      <c r="J361" s="32" t="n">
        <f aca="false">F361*G361*H361</f>
        <v>9560.9946594756</v>
      </c>
      <c r="K361" s="32" t="n">
        <f aca="false">J361-I361</f>
        <v>0.00465947560041968</v>
      </c>
      <c r="L361" s="28" t="n">
        <f aca="false">IF(B361=1,12,IF(B361=2,MIN(MAX(D361,1),60),6))</f>
        <v>12</v>
      </c>
      <c r="M361" s="11" t="n">
        <f aca="false">IF(B361=3,1,IFERROR(INDEX(PD_TermStructure!$C$2:$C$241,MATCH(C361&amp;"|"&amp;L361,PD_TermStructure!$D$2:$D$241,0)),0))</f>
        <v>0.109872</v>
      </c>
      <c r="N361" s="22" t="n">
        <f aca="false">(1+E361/100)^(-(L361/12)/2)</f>
        <v>0.948944293623087</v>
      </c>
      <c r="O361" s="32" t="n">
        <f aca="false">IF(H361&lt;=0,0,M361*Assumptions!$B$3*H361*N361)</f>
        <v>46055.4704589656</v>
      </c>
      <c r="P361" s="25" t="n">
        <v>46055.47</v>
      </c>
      <c r="Q361" s="32" t="n">
        <f aca="false">O361-P361</f>
        <v>0.00045896563824499</v>
      </c>
    </row>
    <row r="362" customFormat="false" ht="15" hidden="false" customHeight="false" outlineLevel="0" collapsed="false">
      <c r="A362" s="14" t="s">
        <v>531</v>
      </c>
      <c r="B362" s="14" t="n">
        <v>1</v>
      </c>
      <c r="C362" s="14" t="s">
        <v>154</v>
      </c>
      <c r="D362" s="14" t="n">
        <v>31</v>
      </c>
      <c r="E362" s="14" t="n">
        <v>7.61</v>
      </c>
      <c r="F362" s="31" t="n">
        <v>0.0185</v>
      </c>
      <c r="G362" s="31" t="n">
        <v>0.4745</v>
      </c>
      <c r="H362" s="25" t="n">
        <v>361700.08</v>
      </c>
      <c r="I362" s="25" t="n">
        <v>3175.09</v>
      </c>
      <c r="J362" s="32" t="n">
        <f aca="false">F362*G362*H362</f>
        <v>3175.09372726</v>
      </c>
      <c r="K362" s="32" t="n">
        <f aca="false">J362-I362</f>
        <v>0.00372725999977774</v>
      </c>
      <c r="L362" s="28" t="n">
        <f aca="false">IF(B362=1,12,IF(B362=2,MIN(MAX(D362,1),60),6))</f>
        <v>12</v>
      </c>
      <c r="M362" s="11" t="n">
        <f aca="false">IF(B362=3,1,IFERROR(INDEX(PD_TermStructure!$C$2:$C$241,MATCH(C362&amp;"|"&amp;L362,PD_TermStructure!$D$2:$D$241,0)),0))</f>
        <v>0.109872</v>
      </c>
      <c r="N362" s="22" t="n">
        <f aca="false">(1+E362/100)^(-(L362/12)/2)</f>
        <v>0.963992564946818</v>
      </c>
      <c r="O362" s="32" t="n">
        <f aca="false">IF(H362&lt;=0,0,M362*Assumptions!$B$3*H362*N362)</f>
        <v>15887.8031507333</v>
      </c>
      <c r="P362" s="25" t="n">
        <v>15887.8</v>
      </c>
      <c r="Q362" s="32" t="n">
        <f aca="false">O362-P362</f>
        <v>0.00315073333149485</v>
      </c>
    </row>
    <row r="363" customFormat="false" ht="15" hidden="false" customHeight="false" outlineLevel="0" collapsed="false">
      <c r="A363" s="14" t="s">
        <v>532</v>
      </c>
      <c r="B363" s="14" t="n">
        <v>1</v>
      </c>
      <c r="C363" s="14" t="s">
        <v>154</v>
      </c>
      <c r="D363" s="14" t="n">
        <v>22</v>
      </c>
      <c r="E363" s="14" t="n">
        <v>11.85</v>
      </c>
      <c r="F363" s="31" t="n">
        <v>0.019</v>
      </c>
      <c r="G363" s="31" t="n">
        <v>0.3699</v>
      </c>
      <c r="H363" s="25" t="n">
        <v>480037.04</v>
      </c>
      <c r="I363" s="25" t="n">
        <v>3373.75</v>
      </c>
      <c r="J363" s="32" t="n">
        <f aca="false">F363*G363*H363</f>
        <v>3373.748320824</v>
      </c>
      <c r="K363" s="32" t="n">
        <f aca="false">J363-I363</f>
        <v>-0.00167917600037981</v>
      </c>
      <c r="L363" s="28" t="n">
        <f aca="false">IF(B363=1,12,IF(B363=2,MIN(MAX(D363,1),60),6))</f>
        <v>12</v>
      </c>
      <c r="M363" s="11" t="n">
        <f aca="false">IF(B363=3,1,IFERROR(INDEX(PD_TermStructure!$C$2:$C$241,MATCH(C363&amp;"|"&amp;L363,PD_TermStructure!$D$2:$D$241,0)),0))</f>
        <v>0.109872</v>
      </c>
      <c r="N363" s="22" t="n">
        <f aca="false">(1+E363/100)^(-(L363/12)/2)</f>
        <v>0.945544571835076</v>
      </c>
      <c r="O363" s="32" t="n">
        <f aca="false">IF(H363&lt;=0,0,M363*Assumptions!$B$3*H363*N363)</f>
        <v>20682.275367134</v>
      </c>
      <c r="P363" s="25" t="n">
        <v>20682.28</v>
      </c>
      <c r="Q363" s="32" t="n">
        <f aca="false">O363-P363</f>
        <v>-0.0046328659664141</v>
      </c>
    </row>
    <row r="364" customFormat="false" ht="15" hidden="false" customHeight="false" outlineLevel="0" collapsed="false">
      <c r="A364" s="14" t="s">
        <v>533</v>
      </c>
      <c r="B364" s="14" t="n">
        <v>1</v>
      </c>
      <c r="C364" s="14" t="s">
        <v>154</v>
      </c>
      <c r="D364" s="14" t="n">
        <v>22</v>
      </c>
      <c r="E364" s="14" t="n">
        <v>10.84</v>
      </c>
      <c r="F364" s="31" t="n">
        <v>0.0228</v>
      </c>
      <c r="G364" s="31" t="n">
        <v>0.4403</v>
      </c>
      <c r="H364" s="25" t="n">
        <v>575202.16</v>
      </c>
      <c r="I364" s="25" t="n">
        <v>5774.36</v>
      </c>
      <c r="J364" s="32" t="n">
        <f aca="false">F364*G364*H364</f>
        <v>5774.3624518944</v>
      </c>
      <c r="K364" s="32" t="n">
        <f aca="false">J364-I364</f>
        <v>0.00245189440101967</v>
      </c>
      <c r="L364" s="28" t="n">
        <f aca="false">IF(B364=1,12,IF(B364=2,MIN(MAX(D364,1),60),6))</f>
        <v>12</v>
      </c>
      <c r="M364" s="11" t="n">
        <f aca="false">IF(B364=3,1,IFERROR(INDEX(PD_TermStructure!$C$2:$C$241,MATCH(C364&amp;"|"&amp;L364,PD_TermStructure!$D$2:$D$241,0)),0))</f>
        <v>0.109872</v>
      </c>
      <c r="N364" s="22" t="n">
        <f aca="false">(1+E364/100)^(-(L364/12)/2)</f>
        <v>0.949842814020343</v>
      </c>
      <c r="O364" s="32" t="n">
        <f aca="false">IF(H364&lt;=0,0,M364*Assumptions!$B$3*H364*N364)</f>
        <v>24895.096316761</v>
      </c>
      <c r="P364" s="25" t="n">
        <v>24895.1</v>
      </c>
      <c r="Q364" s="32" t="n">
        <f aca="false">O364-P364</f>
        <v>-0.00368323897419032</v>
      </c>
    </row>
    <row r="365" customFormat="false" ht="15" hidden="false" customHeight="false" outlineLevel="0" collapsed="false">
      <c r="A365" s="14" t="s">
        <v>534</v>
      </c>
      <c r="B365" s="14" t="n">
        <v>1</v>
      </c>
      <c r="C365" s="14" t="s">
        <v>154</v>
      </c>
      <c r="D365" s="14" t="n">
        <v>0</v>
      </c>
      <c r="E365" s="14" t="n">
        <v>12.74</v>
      </c>
      <c r="F365" s="31" t="n">
        <v>0.0194</v>
      </c>
      <c r="G365" s="31" t="n">
        <v>0.4145</v>
      </c>
      <c r="H365" s="25" t="n">
        <v>0</v>
      </c>
      <c r="I365" s="25" t="n">
        <v>0</v>
      </c>
      <c r="J365" s="32" t="n">
        <f aca="false">F365*G365*H365</f>
        <v>0</v>
      </c>
      <c r="K365" s="32" t="n">
        <f aca="false">J365-I365</f>
        <v>0</v>
      </c>
      <c r="L365" s="28" t="n">
        <f aca="false">IF(B365=1,12,IF(B365=2,MIN(MAX(D365,1),60),6))</f>
        <v>12</v>
      </c>
      <c r="M365" s="11" t="n">
        <f aca="false">IF(B365=3,1,IFERROR(INDEX(PD_TermStructure!$C$2:$C$241,MATCH(C365&amp;"|"&amp;L365,PD_TermStructure!$D$2:$D$241,0)),0))</f>
        <v>0.109872</v>
      </c>
      <c r="N365" s="22" t="n">
        <f aca="false">(1+E365/100)^(-(L365/12)/2)</f>
        <v>0.941804984809917</v>
      </c>
      <c r="O365" s="32" t="n">
        <f aca="false">IF(H365&lt;=0,0,M365*Assumptions!$B$3*H365*N365)</f>
        <v>0</v>
      </c>
      <c r="P365" s="25" t="n">
        <v>0</v>
      </c>
      <c r="Q365" s="32" t="n">
        <f aca="false">O365-P365</f>
        <v>0</v>
      </c>
    </row>
    <row r="366" customFormat="false" ht="15" hidden="false" customHeight="false" outlineLevel="0" collapsed="false">
      <c r="A366" s="14" t="s">
        <v>535</v>
      </c>
      <c r="B366" s="14" t="n">
        <v>1</v>
      </c>
      <c r="C366" s="14" t="s">
        <v>154</v>
      </c>
      <c r="D366" s="14" t="n">
        <v>13</v>
      </c>
      <c r="E366" s="14" t="n">
        <v>12.18</v>
      </c>
      <c r="F366" s="31" t="n">
        <v>0.0192</v>
      </c>
      <c r="G366" s="31" t="n">
        <v>0.6453</v>
      </c>
      <c r="H366" s="25" t="n">
        <v>755830.28</v>
      </c>
      <c r="I366" s="25" t="n">
        <v>9364.56</v>
      </c>
      <c r="J366" s="32" t="n">
        <f aca="false">F366*G366*H366</f>
        <v>9364.5557699328</v>
      </c>
      <c r="K366" s="32" t="n">
        <f aca="false">J366-I366</f>
        <v>-0.00423006720120611</v>
      </c>
      <c r="L366" s="28" t="n">
        <f aca="false">IF(B366=1,12,IF(B366=2,MIN(MAX(D366,1),60),6))</f>
        <v>12</v>
      </c>
      <c r="M366" s="11" t="n">
        <f aca="false">IF(B366=3,1,IFERROR(INDEX(PD_TermStructure!$C$2:$C$241,MATCH(C366&amp;"|"&amp;L366,PD_TermStructure!$D$2:$D$241,0)),0))</f>
        <v>0.109872</v>
      </c>
      <c r="N366" s="22" t="n">
        <f aca="false">(1+E366/100)^(-(L366/12)/2)</f>
        <v>0.944152792902272</v>
      </c>
      <c r="O366" s="32" t="n">
        <f aca="false">IF(H366&lt;=0,0,M366*Assumptions!$B$3*H366*N366)</f>
        <v>32516.8247165599</v>
      </c>
      <c r="P366" s="25" t="n">
        <v>32516.82</v>
      </c>
      <c r="Q366" s="32" t="n">
        <f aca="false">O366-P366</f>
        <v>0.00471655985529651</v>
      </c>
    </row>
    <row r="367" customFormat="false" ht="15" hidden="false" customHeight="false" outlineLevel="0" collapsed="false">
      <c r="A367" s="14" t="s">
        <v>536</v>
      </c>
      <c r="B367" s="14" t="n">
        <v>1</v>
      </c>
      <c r="C367" s="14" t="s">
        <v>154</v>
      </c>
      <c r="D367" s="14" t="n">
        <v>53</v>
      </c>
      <c r="E367" s="14" t="n">
        <v>13.52</v>
      </c>
      <c r="F367" s="31" t="n">
        <v>0.0243</v>
      </c>
      <c r="G367" s="31" t="n">
        <v>0.4335</v>
      </c>
      <c r="H367" s="25" t="n">
        <v>1253617.8</v>
      </c>
      <c r="I367" s="25" t="n">
        <v>13205.67</v>
      </c>
      <c r="J367" s="32" t="n">
        <f aca="false">F367*G367*H367</f>
        <v>13205.67258609</v>
      </c>
      <c r="K367" s="32" t="n">
        <f aca="false">J367-I367</f>
        <v>0.00258609000047727</v>
      </c>
      <c r="L367" s="28" t="n">
        <f aca="false">IF(B367=1,12,IF(B367=2,MIN(MAX(D367,1),60),6))</f>
        <v>12</v>
      </c>
      <c r="M367" s="11" t="n">
        <f aca="false">IF(B367=3,1,IFERROR(INDEX(PD_TermStructure!$C$2:$C$241,MATCH(C367&amp;"|"&amp;L367,PD_TermStructure!$D$2:$D$241,0)),0))</f>
        <v>0.109872</v>
      </c>
      <c r="N367" s="22" t="n">
        <f aca="false">(1+E367/100)^(-(L367/12)/2)</f>
        <v>0.938563819722847</v>
      </c>
      <c r="O367" s="32" t="n">
        <f aca="false">IF(H367&lt;=0,0,M367*Assumptions!$B$3*H367*N367)</f>
        <v>53613.0506657836</v>
      </c>
      <c r="P367" s="25" t="n">
        <v>53613.05</v>
      </c>
      <c r="Q367" s="32" t="n">
        <f aca="false">O367-P367</f>
        <v>0.000665783627482597</v>
      </c>
    </row>
    <row r="368" customFormat="false" ht="15" hidden="false" customHeight="false" outlineLevel="0" collapsed="false">
      <c r="A368" s="14" t="s">
        <v>537</v>
      </c>
      <c r="B368" s="14" t="n">
        <v>1</v>
      </c>
      <c r="C368" s="14" t="s">
        <v>154</v>
      </c>
      <c r="D368" s="14" t="n">
        <v>0</v>
      </c>
      <c r="E368" s="14" t="n">
        <v>12.79</v>
      </c>
      <c r="F368" s="31" t="n">
        <v>0.0165</v>
      </c>
      <c r="G368" s="31" t="n">
        <v>0.3927</v>
      </c>
      <c r="H368" s="25" t="n">
        <v>0</v>
      </c>
      <c r="I368" s="25" t="n">
        <v>0</v>
      </c>
      <c r="J368" s="32" t="n">
        <f aca="false">F368*G368*H368</f>
        <v>0</v>
      </c>
      <c r="K368" s="32" t="n">
        <f aca="false">J368-I368</f>
        <v>0</v>
      </c>
      <c r="L368" s="28" t="n">
        <f aca="false">IF(B368=1,12,IF(B368=2,MIN(MAX(D368,1),60),6))</f>
        <v>12</v>
      </c>
      <c r="M368" s="11" t="n">
        <f aca="false">IF(B368=3,1,IFERROR(INDEX(PD_TermStructure!$C$2:$C$241,MATCH(C368&amp;"|"&amp;L368,PD_TermStructure!$D$2:$D$241,0)),0))</f>
        <v>0.109872</v>
      </c>
      <c r="N368" s="22" t="n">
        <f aca="false">(1+E368/100)^(-(L368/12)/2)</f>
        <v>0.941596209789106</v>
      </c>
      <c r="O368" s="32" t="n">
        <f aca="false">IF(H368&lt;=0,0,M368*Assumptions!$B$3*H368*N368)</f>
        <v>0</v>
      </c>
      <c r="P368" s="25" t="n">
        <v>0</v>
      </c>
      <c r="Q368" s="32" t="n">
        <f aca="false">O368-P368</f>
        <v>0</v>
      </c>
    </row>
    <row r="369" customFormat="false" ht="15" hidden="false" customHeight="false" outlineLevel="0" collapsed="false">
      <c r="A369" s="14" t="s">
        <v>538</v>
      </c>
      <c r="B369" s="14" t="n">
        <v>1</v>
      </c>
      <c r="C369" s="14" t="s">
        <v>154</v>
      </c>
      <c r="D369" s="14" t="n">
        <v>79</v>
      </c>
      <c r="E369" s="14" t="n">
        <v>10.68</v>
      </c>
      <c r="F369" s="31" t="n">
        <v>0.0151</v>
      </c>
      <c r="G369" s="31" t="n">
        <v>0.5695</v>
      </c>
      <c r="H369" s="25" t="n">
        <v>2139620.83</v>
      </c>
      <c r="I369" s="25" t="n">
        <v>18399.56</v>
      </c>
      <c r="J369" s="32" t="n">
        <f aca="false">F369*G369*H369</f>
        <v>18399.5623465435</v>
      </c>
      <c r="K369" s="32" t="n">
        <f aca="false">J369-I369</f>
        <v>0.00234654350060737</v>
      </c>
      <c r="L369" s="28" t="n">
        <f aca="false">IF(B369=1,12,IF(B369=2,MIN(MAX(D369,1),60),6))</f>
        <v>12</v>
      </c>
      <c r="M369" s="11" t="n">
        <f aca="false">IF(B369=3,1,IFERROR(INDEX(PD_TermStructure!$C$2:$C$241,MATCH(C369&amp;"|"&amp;L369,PD_TermStructure!$D$2:$D$241,0)),0))</f>
        <v>0.109872</v>
      </c>
      <c r="N369" s="22" t="n">
        <f aca="false">(1+E369/100)^(-(L369/12)/2)</f>
        <v>0.950529116721172</v>
      </c>
      <c r="O369" s="32" t="n">
        <f aca="false">IF(H369&lt;=0,0,M369*Assumptions!$B$3*H369*N369)</f>
        <v>92670.9901290923</v>
      </c>
      <c r="P369" s="25" t="n">
        <v>92670.99</v>
      </c>
      <c r="Q369" s="32" t="n">
        <f aca="false">O369-P369</f>
        <v>0.000129092251881957</v>
      </c>
    </row>
    <row r="370" customFormat="false" ht="15" hidden="false" customHeight="false" outlineLevel="0" collapsed="false">
      <c r="A370" s="14" t="s">
        <v>539</v>
      </c>
      <c r="B370" s="14" t="n">
        <v>1</v>
      </c>
      <c r="C370" s="14" t="s">
        <v>154</v>
      </c>
      <c r="D370" s="14" t="n">
        <v>57</v>
      </c>
      <c r="E370" s="14" t="n">
        <v>10.44</v>
      </c>
      <c r="F370" s="31" t="n">
        <v>0.0213</v>
      </c>
      <c r="G370" s="31" t="n">
        <v>0.6111</v>
      </c>
      <c r="H370" s="25" t="n">
        <v>2690373.66</v>
      </c>
      <c r="I370" s="25" t="n">
        <v>35019.06</v>
      </c>
      <c r="J370" s="32" t="n">
        <f aca="false">F370*G370*H370</f>
        <v>35019.0604192338</v>
      </c>
      <c r="K370" s="32" t="n">
        <f aca="false">J370-I370</f>
        <v>0.000419233801949304</v>
      </c>
      <c r="L370" s="28" t="n">
        <f aca="false">IF(B370=1,12,IF(B370=2,MIN(MAX(D370,1),60),6))</f>
        <v>12</v>
      </c>
      <c r="M370" s="11" t="n">
        <f aca="false">IF(B370=3,1,IFERROR(INDEX(PD_TermStructure!$C$2:$C$241,MATCH(C370&amp;"|"&amp;L370,PD_TermStructure!$D$2:$D$241,0)),0))</f>
        <v>0.109872</v>
      </c>
      <c r="N370" s="22" t="n">
        <f aca="false">(1+E370/100)^(-(L370/12)/2)</f>
        <v>0.951561365839888</v>
      </c>
      <c r="O370" s="32" t="n">
        <f aca="false">IF(H370&lt;=0,0,M370*Assumptions!$B$3*H370*N370)</f>
        <v>116651.671070179</v>
      </c>
      <c r="P370" s="25" t="n">
        <v>116651.67</v>
      </c>
      <c r="Q370" s="32" t="n">
        <f aca="false">O370-P370</f>
        <v>0.00107017855043523</v>
      </c>
    </row>
    <row r="371" customFormat="false" ht="15" hidden="false" customHeight="false" outlineLevel="0" collapsed="false">
      <c r="A371" s="14" t="s">
        <v>540</v>
      </c>
      <c r="B371" s="14" t="n">
        <v>1</v>
      </c>
      <c r="C371" s="14" t="s">
        <v>154</v>
      </c>
      <c r="D371" s="14" t="n">
        <v>0</v>
      </c>
      <c r="E371" s="14" t="n">
        <v>9.93</v>
      </c>
      <c r="F371" s="31" t="n">
        <v>0.0238</v>
      </c>
      <c r="G371" s="31" t="n">
        <v>0.4532</v>
      </c>
      <c r="H371" s="25" t="n">
        <v>0</v>
      </c>
      <c r="I371" s="25" t="n">
        <v>0</v>
      </c>
      <c r="J371" s="32" t="n">
        <f aca="false">F371*G371*H371</f>
        <v>0</v>
      </c>
      <c r="K371" s="32" t="n">
        <f aca="false">J371-I371</f>
        <v>0</v>
      </c>
      <c r="L371" s="28" t="n">
        <f aca="false">IF(B371=1,12,IF(B371=2,MIN(MAX(D371,1),60),6))</f>
        <v>12</v>
      </c>
      <c r="M371" s="11" t="n">
        <f aca="false">IF(B371=3,1,IFERROR(INDEX(PD_TermStructure!$C$2:$C$241,MATCH(C371&amp;"|"&amp;L371,PD_TermStructure!$D$2:$D$241,0)),0))</f>
        <v>0.109872</v>
      </c>
      <c r="N371" s="22" t="n">
        <f aca="false">(1+E371/100)^(-(L371/12)/2)</f>
        <v>0.953766108574989</v>
      </c>
      <c r="O371" s="32" t="n">
        <f aca="false">IF(H371&lt;=0,0,M371*Assumptions!$B$3*H371*N371)</f>
        <v>0</v>
      </c>
      <c r="P371" s="25" t="n">
        <v>0</v>
      </c>
      <c r="Q371" s="32" t="n">
        <f aca="false">O371-P371</f>
        <v>0</v>
      </c>
    </row>
    <row r="372" customFormat="false" ht="15" hidden="false" customHeight="false" outlineLevel="0" collapsed="false">
      <c r="A372" s="14" t="s">
        <v>541</v>
      </c>
      <c r="B372" s="14" t="n">
        <v>2</v>
      </c>
      <c r="C372" s="14" t="s">
        <v>157</v>
      </c>
      <c r="D372" s="14" t="n">
        <v>25</v>
      </c>
      <c r="E372" s="14" t="n">
        <v>12.97</v>
      </c>
      <c r="F372" s="31" t="n">
        <v>0.1083</v>
      </c>
      <c r="G372" s="31" t="n">
        <v>0.4813</v>
      </c>
      <c r="H372" s="25" t="n">
        <v>476807.93</v>
      </c>
      <c r="I372" s="25" t="n">
        <v>24853.51</v>
      </c>
      <c r="J372" s="32" t="n">
        <f aca="false">F372*G372*H372</f>
        <v>24853.5132215847</v>
      </c>
      <c r="K372" s="32" t="n">
        <f aca="false">J372-I372</f>
        <v>0.00322158469862188</v>
      </c>
      <c r="L372" s="28" t="n">
        <f aca="false">IF(B372=1,12,IF(B372=2,MIN(MAX(D372,1),60),6))</f>
        <v>25</v>
      </c>
      <c r="M372" s="11" t="n">
        <f aca="false">IF(B372=3,1,IFERROR(INDEX(PD_TermStructure!$C$2:$C$241,MATCH(C372&amp;"|"&amp;L372,PD_TermStructure!$D$2:$D$241,0)),0))</f>
        <v>0.99999</v>
      </c>
      <c r="N372" s="22" t="n">
        <f aca="false">(1+E372/100)^(-(L372/12)/2)</f>
        <v>0.880704213694597</v>
      </c>
      <c r="O372" s="32" t="n">
        <f aca="false">IF(H372&lt;=0,0,M372*Assumptions!$B$3*H372*N372)</f>
        <v>174150.10157509</v>
      </c>
      <c r="P372" s="25" t="n">
        <v>174150.1</v>
      </c>
      <c r="Q372" s="32" t="n">
        <f aca="false">O372-P372</f>
        <v>0.00157508993288502</v>
      </c>
    </row>
    <row r="373" customFormat="false" ht="15" hidden="false" customHeight="false" outlineLevel="0" collapsed="false">
      <c r="A373" s="14" t="s">
        <v>542</v>
      </c>
      <c r="B373" s="14" t="n">
        <v>1</v>
      </c>
      <c r="C373" s="14" t="s">
        <v>154</v>
      </c>
      <c r="D373" s="14" t="n">
        <v>34</v>
      </c>
      <c r="E373" s="14" t="n">
        <v>8.89</v>
      </c>
      <c r="F373" s="31" t="n">
        <v>0.026</v>
      </c>
      <c r="G373" s="31" t="n">
        <v>0.4828</v>
      </c>
      <c r="H373" s="25" t="n">
        <v>632530.98</v>
      </c>
      <c r="I373" s="25" t="n">
        <v>7940.03</v>
      </c>
      <c r="J373" s="32" t="n">
        <f aca="false">F373*G373*H373</f>
        <v>7940.034885744</v>
      </c>
      <c r="K373" s="32" t="n">
        <f aca="false">J373-I373</f>
        <v>0.00488574399969366</v>
      </c>
      <c r="L373" s="28" t="n">
        <f aca="false">IF(B373=1,12,IF(B373=2,MIN(MAX(D373,1),60),6))</f>
        <v>12</v>
      </c>
      <c r="M373" s="11" t="n">
        <f aca="false">IF(B373=3,1,IFERROR(INDEX(PD_TermStructure!$C$2:$C$241,MATCH(C373&amp;"|"&amp;L373,PD_TermStructure!$D$2:$D$241,0)),0))</f>
        <v>0.109872</v>
      </c>
      <c r="N373" s="22" t="n">
        <f aca="false">(1+E373/100)^(-(L373/12)/2)</f>
        <v>0.958309958175861</v>
      </c>
      <c r="O373" s="32" t="n">
        <f aca="false">IF(H373&lt;=0,0,M373*Assumptions!$B$3*H373*N373)</f>
        <v>27620.3618207185</v>
      </c>
      <c r="P373" s="25" t="n">
        <v>27620.36</v>
      </c>
      <c r="Q373" s="32" t="n">
        <f aca="false">O373-P373</f>
        <v>0.00182071846938925</v>
      </c>
    </row>
    <row r="374" customFormat="false" ht="15" hidden="false" customHeight="false" outlineLevel="0" collapsed="false">
      <c r="A374" s="14" t="s">
        <v>543</v>
      </c>
      <c r="B374" s="14" t="n">
        <v>1</v>
      </c>
      <c r="C374" s="14" t="s">
        <v>154</v>
      </c>
      <c r="D374" s="14" t="n">
        <v>5</v>
      </c>
      <c r="E374" s="14" t="n">
        <v>13.5</v>
      </c>
      <c r="F374" s="31" t="n">
        <v>0.0205</v>
      </c>
      <c r="G374" s="31" t="n">
        <v>0.3731</v>
      </c>
      <c r="H374" s="25" t="n">
        <v>79084.33</v>
      </c>
      <c r="I374" s="25" t="n">
        <v>604.88</v>
      </c>
      <c r="J374" s="32" t="n">
        <f aca="false">F374*G374*H374</f>
        <v>604.8804522215</v>
      </c>
      <c r="K374" s="32" t="n">
        <f aca="false">J374-I374</f>
        <v>0.00045222150004065</v>
      </c>
      <c r="L374" s="28" t="n">
        <f aca="false">IF(B374=1,12,IF(B374=2,MIN(MAX(D374,1),60),6))</f>
        <v>12</v>
      </c>
      <c r="M374" s="11" t="n">
        <f aca="false">IF(B374=3,1,IFERROR(INDEX(PD_TermStructure!$C$2:$C$241,MATCH(C374&amp;"|"&amp;L374,PD_TermStructure!$D$2:$D$241,0)),0))</f>
        <v>0.109872</v>
      </c>
      <c r="N374" s="22" t="n">
        <f aca="false">(1+E374/100)^(-(L374/12)/2)</f>
        <v>0.938646508927864</v>
      </c>
      <c r="O374" s="32" t="n">
        <f aca="false">IF(H374&lt;=0,0,M374*Assumptions!$B$3*H374*N374)</f>
        <v>3382.47090841734</v>
      </c>
      <c r="P374" s="25" t="n">
        <v>3382.47</v>
      </c>
      <c r="Q374" s="32" t="n">
        <f aca="false">O374-P374</f>
        <v>0.000908417335267586</v>
      </c>
    </row>
    <row r="375" customFormat="false" ht="15" hidden="false" customHeight="false" outlineLevel="0" collapsed="false">
      <c r="A375" s="14" t="s">
        <v>544</v>
      </c>
      <c r="B375" s="14" t="n">
        <v>1</v>
      </c>
      <c r="C375" s="14" t="s">
        <v>154</v>
      </c>
      <c r="D375" s="14" t="n">
        <v>21</v>
      </c>
      <c r="E375" s="14" t="n">
        <v>12.52</v>
      </c>
      <c r="F375" s="31" t="n">
        <v>0.0244</v>
      </c>
      <c r="G375" s="31" t="n">
        <v>0.3944</v>
      </c>
      <c r="H375" s="25" t="n">
        <v>303252.33</v>
      </c>
      <c r="I375" s="25" t="n">
        <v>2918.31</v>
      </c>
      <c r="J375" s="32" t="n">
        <f aca="false">F375*G375*H375</f>
        <v>2918.3063424288</v>
      </c>
      <c r="K375" s="32" t="n">
        <f aca="false">J375-I375</f>
        <v>-0.00365757120016497</v>
      </c>
      <c r="L375" s="28" t="n">
        <f aca="false">IF(B375=1,12,IF(B375=2,MIN(MAX(D375,1),60),6))</f>
        <v>12</v>
      </c>
      <c r="M375" s="11" t="n">
        <f aca="false">IF(B375=3,1,IFERROR(INDEX(PD_TermStructure!$C$2:$C$241,MATCH(C375&amp;"|"&amp;L375,PD_TermStructure!$D$2:$D$241,0)),0))</f>
        <v>0.109872</v>
      </c>
      <c r="N375" s="22" t="n">
        <f aca="false">(1+E375/100)^(-(L375/12)/2)</f>
        <v>0.942725247506301</v>
      </c>
      <c r="O375" s="32" t="n">
        <f aca="false">IF(H375&lt;=0,0,M375*Assumptions!$B$3*H375*N375)</f>
        <v>13026.5930440034</v>
      </c>
      <c r="P375" s="25" t="n">
        <v>13026.59</v>
      </c>
      <c r="Q375" s="32" t="n">
        <f aca="false">O375-P375</f>
        <v>0.003044003406103</v>
      </c>
    </row>
    <row r="376" customFormat="false" ht="15" hidden="false" customHeight="false" outlineLevel="0" collapsed="false">
      <c r="A376" s="14" t="s">
        <v>545</v>
      </c>
      <c r="B376" s="14" t="n">
        <v>3</v>
      </c>
      <c r="C376" s="14" t="s">
        <v>279</v>
      </c>
      <c r="D376" s="14" t="n">
        <v>60</v>
      </c>
      <c r="E376" s="14" t="n">
        <v>9.67</v>
      </c>
      <c r="F376" s="31" t="n">
        <v>0.9686</v>
      </c>
      <c r="G376" s="31" t="n">
        <v>0.4246</v>
      </c>
      <c r="H376" s="25" t="n">
        <v>1153623.9</v>
      </c>
      <c r="I376" s="25" t="n">
        <v>474448.09</v>
      </c>
      <c r="J376" s="32" t="n">
        <f aca="false">F376*G376*H376</f>
        <v>474448.086510684</v>
      </c>
      <c r="K376" s="32" t="n">
        <f aca="false">J376-I376</f>
        <v>-0.00348931609187275</v>
      </c>
      <c r="L376" s="28" t="n">
        <f aca="false">IF(B376=1,12,IF(B376=2,MIN(MAX(D376,1),60),6))</f>
        <v>6</v>
      </c>
      <c r="M376" s="11" t="n">
        <f aca="false">IF(B376=3,1,IFERROR(INDEX(PD_TermStructure!$C$2:$C$241,MATCH(C376&amp;"|"&amp;L376,PD_TermStructure!$D$2:$D$241,0)),0))</f>
        <v>1</v>
      </c>
      <c r="N376" s="22" t="n">
        <f aca="false">(1+E376/100)^(-(L376/12)/2)</f>
        <v>0.977187806479243</v>
      </c>
      <c r="O376" s="32" t="n">
        <f aca="false">IF(H376&lt;=0,0,M376*Assumptions!$B$3*H376*N376)</f>
        <v>467516.362385597</v>
      </c>
      <c r="P376" s="25" t="n">
        <v>467516.36</v>
      </c>
      <c r="Q376" s="32" t="n">
        <f aca="false">O376-P376</f>
        <v>0.00238559674471617</v>
      </c>
    </row>
    <row r="377" customFormat="false" ht="15" hidden="false" customHeight="false" outlineLevel="0" collapsed="false">
      <c r="A377" s="14" t="s">
        <v>546</v>
      </c>
      <c r="B377" s="14" t="n">
        <v>1</v>
      </c>
      <c r="C377" s="14" t="s">
        <v>154</v>
      </c>
      <c r="D377" s="14" t="n">
        <v>49</v>
      </c>
      <c r="E377" s="14" t="n">
        <v>10.17</v>
      </c>
      <c r="F377" s="31" t="n">
        <v>0.023</v>
      </c>
      <c r="G377" s="31" t="n">
        <v>0.5072</v>
      </c>
      <c r="H377" s="25" t="n">
        <v>817410.85</v>
      </c>
      <c r="I377" s="25" t="n">
        <v>9535.59</v>
      </c>
      <c r="J377" s="32" t="n">
        <f aca="false">F377*G377*H377</f>
        <v>9535.58801176</v>
      </c>
      <c r="K377" s="32" t="n">
        <f aca="false">J377-I377</f>
        <v>-0.00198824000108289</v>
      </c>
      <c r="L377" s="28" t="n">
        <f aca="false">IF(B377=1,12,IF(B377=2,MIN(MAX(D377,1),60),6))</f>
        <v>12</v>
      </c>
      <c r="M377" s="11" t="n">
        <f aca="false">IF(B377=3,1,IFERROR(INDEX(PD_TermStructure!$C$2:$C$241,MATCH(C377&amp;"|"&amp;L377,PD_TermStructure!$D$2:$D$241,0)),0))</f>
        <v>0.109872</v>
      </c>
      <c r="N377" s="22" t="n">
        <f aca="false">(1+E377/100)^(-(L377/12)/2)</f>
        <v>0.952726675580426</v>
      </c>
      <c r="O377" s="32" t="n">
        <f aca="false">IF(H377&lt;=0,0,M377*Assumptions!$B$3*H377*N377)</f>
        <v>35485.447347052</v>
      </c>
      <c r="P377" s="25" t="n">
        <v>35485.45</v>
      </c>
      <c r="Q377" s="32" t="n">
        <f aca="false">O377-P377</f>
        <v>-0.00265294800919946</v>
      </c>
    </row>
    <row r="378" customFormat="false" ht="15" hidden="false" customHeight="false" outlineLevel="0" collapsed="false">
      <c r="A378" s="14" t="s">
        <v>547</v>
      </c>
      <c r="B378" s="14" t="n">
        <v>1</v>
      </c>
      <c r="C378" s="14" t="s">
        <v>154</v>
      </c>
      <c r="D378" s="14" t="n">
        <v>3</v>
      </c>
      <c r="E378" s="14" t="n">
        <v>8.82</v>
      </c>
      <c r="F378" s="31" t="n">
        <v>0.0215</v>
      </c>
      <c r="G378" s="31" t="n">
        <v>0.6306</v>
      </c>
      <c r="H378" s="25" t="n">
        <v>34883.59</v>
      </c>
      <c r="I378" s="25" t="n">
        <v>472.95</v>
      </c>
      <c r="J378" s="32" t="n">
        <f aca="false">F378*G378*H378</f>
        <v>472.948224861</v>
      </c>
      <c r="K378" s="32" t="n">
        <f aca="false">J378-I378</f>
        <v>-0.00177513900007398</v>
      </c>
      <c r="L378" s="28" t="n">
        <f aca="false">IF(B378=1,12,IF(B378=2,MIN(MAX(D378,1),60),6))</f>
        <v>12</v>
      </c>
      <c r="M378" s="11" t="n">
        <f aca="false">IF(B378=3,1,IFERROR(INDEX(PD_TermStructure!$C$2:$C$241,MATCH(C378&amp;"|"&amp;L378,PD_TermStructure!$D$2:$D$241,0)),0))</f>
        <v>0.109872</v>
      </c>
      <c r="N378" s="22" t="n">
        <f aca="false">(1+E378/100)^(-(L378/12)/2)</f>
        <v>0.95861813182376</v>
      </c>
      <c r="O378" s="32" t="n">
        <f aca="false">IF(H378&lt;=0,0,M378*Assumptions!$B$3*H378*N378)</f>
        <v>1523.73124748066</v>
      </c>
      <c r="P378" s="25" t="n">
        <v>1523.73</v>
      </c>
      <c r="Q378" s="32" t="n">
        <f aca="false">O378-P378</f>
        <v>0.00124748066195934</v>
      </c>
    </row>
    <row r="379" customFormat="false" ht="15" hidden="false" customHeight="false" outlineLevel="0" collapsed="false">
      <c r="A379" s="14" t="s">
        <v>548</v>
      </c>
      <c r="B379" s="14" t="n">
        <v>1</v>
      </c>
      <c r="C379" s="14" t="s">
        <v>154</v>
      </c>
      <c r="D379" s="14" t="n">
        <v>51</v>
      </c>
      <c r="E379" s="14" t="n">
        <v>13.94</v>
      </c>
      <c r="F379" s="31" t="n">
        <v>0.0242</v>
      </c>
      <c r="G379" s="31" t="n">
        <v>0.3773</v>
      </c>
      <c r="H379" s="25" t="n">
        <v>564432.82</v>
      </c>
      <c r="I379" s="25" t="n">
        <v>5153.64</v>
      </c>
      <c r="J379" s="32" t="n">
        <f aca="false">F379*G379*H379</f>
        <v>5153.6441722612</v>
      </c>
      <c r="K379" s="32" t="n">
        <f aca="false">J379-I379</f>
        <v>0.00417226119952829</v>
      </c>
      <c r="L379" s="28" t="n">
        <f aca="false">IF(B379=1,12,IF(B379=2,MIN(MAX(D379,1),60),6))</f>
        <v>12</v>
      </c>
      <c r="M379" s="11" t="n">
        <f aca="false">IF(B379=3,1,IFERROR(INDEX(PD_TermStructure!$C$2:$C$241,MATCH(C379&amp;"|"&amp;L379,PD_TermStructure!$D$2:$D$241,0)),0))</f>
        <v>0.109872</v>
      </c>
      <c r="N379" s="22" t="n">
        <f aca="false">(1+E379/100)^(-(L379/12)/2)</f>
        <v>0.936832378865571</v>
      </c>
      <c r="O379" s="32" t="n">
        <f aca="false">IF(H379&lt;=0,0,M379*Assumptions!$B$3*H379*N379)</f>
        <v>24094.3776054245</v>
      </c>
      <c r="P379" s="25" t="n">
        <v>24094.38</v>
      </c>
      <c r="Q379" s="32" t="n">
        <f aca="false">O379-P379</f>
        <v>-0.00239457548377686</v>
      </c>
    </row>
    <row r="380" customFormat="false" ht="15" hidden="false" customHeight="false" outlineLevel="0" collapsed="false">
      <c r="A380" s="14" t="s">
        <v>549</v>
      </c>
      <c r="B380" s="14" t="n">
        <v>1</v>
      </c>
      <c r="C380" s="14" t="s">
        <v>154</v>
      </c>
      <c r="D380" s="14" t="n">
        <v>70</v>
      </c>
      <c r="E380" s="14" t="n">
        <v>10.33</v>
      </c>
      <c r="F380" s="31" t="n">
        <v>0.0177</v>
      </c>
      <c r="G380" s="31" t="n">
        <v>0.5262</v>
      </c>
      <c r="H380" s="25" t="n">
        <v>1954101.37</v>
      </c>
      <c r="I380" s="25" t="n">
        <v>18199.99</v>
      </c>
      <c r="J380" s="32" t="n">
        <f aca="false">F380*G380*H380</f>
        <v>18199.9920938238</v>
      </c>
      <c r="K380" s="32" t="n">
        <f aca="false">J380-I380</f>
        <v>0.00209382380126044</v>
      </c>
      <c r="L380" s="28" t="n">
        <f aca="false">IF(B380=1,12,IF(B380=2,MIN(MAX(D380,1),60),6))</f>
        <v>12</v>
      </c>
      <c r="M380" s="11" t="n">
        <f aca="false">IF(B380=3,1,IFERROR(INDEX(PD_TermStructure!$C$2:$C$241,MATCH(C380&amp;"|"&amp;L380,PD_TermStructure!$D$2:$D$241,0)),0))</f>
        <v>0.109872</v>
      </c>
      <c r="N380" s="22" t="n">
        <f aca="false">(1+E380/100)^(-(L380/12)/2)</f>
        <v>0.952035605274183</v>
      </c>
      <c r="O380" s="32" t="n">
        <f aca="false">IF(H380&lt;=0,0,M380*Assumptions!$B$3*H380*N380)</f>
        <v>84769.9332722898</v>
      </c>
      <c r="P380" s="25" t="n">
        <v>84769.93</v>
      </c>
      <c r="Q380" s="32" t="n">
        <f aca="false">O380-P380</f>
        <v>0.00327228981768712</v>
      </c>
    </row>
    <row r="381" customFormat="false" ht="15" hidden="false" customHeight="false" outlineLevel="0" collapsed="false">
      <c r="A381" s="14" t="s">
        <v>550</v>
      </c>
      <c r="B381" s="14" t="n">
        <v>2</v>
      </c>
      <c r="C381" s="14" t="s">
        <v>156</v>
      </c>
      <c r="D381" s="14" t="n">
        <v>47</v>
      </c>
      <c r="E381" s="14" t="n">
        <v>12.67</v>
      </c>
      <c r="F381" s="31" t="n">
        <v>0.1506</v>
      </c>
      <c r="G381" s="31" t="n">
        <v>0.3514</v>
      </c>
      <c r="H381" s="25" t="n">
        <v>435601.5</v>
      </c>
      <c r="I381" s="25" t="n">
        <v>23052.4</v>
      </c>
      <c r="J381" s="32" t="n">
        <f aca="false">F381*G381*H381</f>
        <v>23052.39728526</v>
      </c>
      <c r="K381" s="32" t="n">
        <f aca="false">J381-I381</f>
        <v>-0.00271473999964655</v>
      </c>
      <c r="L381" s="28" t="n">
        <f aca="false">IF(B381=1,12,IF(B381=2,MIN(MAX(D381,1),60),6))</f>
        <v>47</v>
      </c>
      <c r="M381" s="11" t="n">
        <f aca="false">IF(B381=3,1,IFERROR(INDEX(PD_TermStructure!$C$2:$C$241,MATCH(C381&amp;"|"&amp;L381,PD_TermStructure!$D$2:$D$241,0)),0))</f>
        <v>1</v>
      </c>
      <c r="N381" s="22" t="n">
        <f aca="false">(1+E381/100)^(-(L381/12)/2)</f>
        <v>0.791666176411432</v>
      </c>
      <c r="O381" s="32" t="n">
        <f aca="false">IF(H381&lt;=0,0,M381*Assumptions!$B$3*H381*N381)</f>
        <v>143016.44814322</v>
      </c>
      <c r="P381" s="25" t="n">
        <v>143016.45</v>
      </c>
      <c r="Q381" s="32" t="n">
        <f aca="false">O381-P381</f>
        <v>-0.00185678046545945</v>
      </c>
    </row>
    <row r="382" customFormat="false" ht="15" hidden="false" customHeight="false" outlineLevel="0" collapsed="false">
      <c r="A382" s="14" t="s">
        <v>551</v>
      </c>
      <c r="B382" s="14" t="n">
        <v>1</v>
      </c>
      <c r="C382" s="14" t="s">
        <v>154</v>
      </c>
      <c r="D382" s="14" t="n">
        <v>52</v>
      </c>
      <c r="E382" s="14" t="n">
        <v>12.26</v>
      </c>
      <c r="F382" s="31" t="n">
        <v>0.0215</v>
      </c>
      <c r="G382" s="31" t="n">
        <v>0.4686</v>
      </c>
      <c r="H382" s="25" t="n">
        <v>609158.09</v>
      </c>
      <c r="I382" s="25" t="n">
        <v>6137.21</v>
      </c>
      <c r="J382" s="32" t="n">
        <f aca="false">F382*G382*H382</f>
        <v>6137.206840941</v>
      </c>
      <c r="K382" s="32" t="n">
        <f aca="false">J382-I382</f>
        <v>-0.00315905900060898</v>
      </c>
      <c r="L382" s="28" t="n">
        <f aca="false">IF(B382=1,12,IF(B382=2,MIN(MAX(D382,1),60),6))</f>
        <v>12</v>
      </c>
      <c r="M382" s="11" t="n">
        <f aca="false">IF(B382=3,1,IFERROR(INDEX(PD_TermStructure!$C$2:$C$241,MATCH(C382&amp;"|"&amp;L382,PD_TermStructure!$D$2:$D$241,0)),0))</f>
        <v>0.109872</v>
      </c>
      <c r="N382" s="22" t="n">
        <f aca="false">(1+E382/100)^(-(L382/12)/2)</f>
        <v>0.943816316486418</v>
      </c>
      <c r="O382" s="32" t="n">
        <f aca="false">IF(H382&lt;=0,0,M382*Assumptions!$B$3*H382*N382)</f>
        <v>26197.4523147762</v>
      </c>
      <c r="P382" s="25" t="n">
        <v>26197.45</v>
      </c>
      <c r="Q382" s="32" t="n">
        <f aca="false">O382-P382</f>
        <v>0.00231477621855447</v>
      </c>
    </row>
    <row r="383" customFormat="false" ht="15" hidden="false" customHeight="false" outlineLevel="0" collapsed="false">
      <c r="A383" s="14" t="s">
        <v>552</v>
      </c>
      <c r="B383" s="14" t="n">
        <v>1</v>
      </c>
      <c r="C383" s="14" t="s">
        <v>154</v>
      </c>
      <c r="D383" s="14" t="n">
        <v>59</v>
      </c>
      <c r="E383" s="14" t="n">
        <v>9.49</v>
      </c>
      <c r="F383" s="31" t="n">
        <v>0.015</v>
      </c>
      <c r="G383" s="31" t="n">
        <v>0.5581</v>
      </c>
      <c r="H383" s="25" t="n">
        <v>1027366.14</v>
      </c>
      <c r="I383" s="25" t="n">
        <v>8600.6</v>
      </c>
      <c r="J383" s="32" t="n">
        <f aca="false">F383*G383*H383</f>
        <v>8600.59564101</v>
      </c>
      <c r="K383" s="32" t="n">
        <f aca="false">J383-I383</f>
        <v>-0.00435898999967321</v>
      </c>
      <c r="L383" s="28" t="n">
        <f aca="false">IF(B383=1,12,IF(B383=2,MIN(MAX(D383,1),60),6))</f>
        <v>12</v>
      </c>
      <c r="M383" s="11" t="n">
        <f aca="false">IF(B383=3,1,IFERROR(INDEX(PD_TermStructure!$C$2:$C$241,MATCH(C383&amp;"|"&amp;L383,PD_TermStructure!$D$2:$D$241,0)),0))</f>
        <v>0.109872</v>
      </c>
      <c r="N383" s="22" t="n">
        <f aca="false">(1+E383/100)^(-(L383/12)/2)</f>
        <v>0.955680604515117</v>
      </c>
      <c r="O383" s="32" t="n">
        <f aca="false">IF(H383&lt;=0,0,M383*Assumptions!$B$3*H383*N383)</f>
        <v>44738.3107119156</v>
      </c>
      <c r="P383" s="25" t="n">
        <v>44738.31</v>
      </c>
      <c r="Q383" s="32" t="n">
        <f aca="false">O383-P383</f>
        <v>0.000711915570718702</v>
      </c>
    </row>
    <row r="384" customFormat="false" ht="15" hidden="false" customHeight="false" outlineLevel="0" collapsed="false">
      <c r="A384" s="14" t="s">
        <v>553</v>
      </c>
      <c r="B384" s="14" t="n">
        <v>1</v>
      </c>
      <c r="C384" s="14" t="s">
        <v>154</v>
      </c>
      <c r="D384" s="14" t="n">
        <v>48</v>
      </c>
      <c r="E384" s="14" t="n">
        <v>13.52</v>
      </c>
      <c r="F384" s="31" t="n">
        <v>0.0245</v>
      </c>
      <c r="G384" s="31" t="n">
        <v>0.3708</v>
      </c>
      <c r="H384" s="25" t="n">
        <v>589531.43</v>
      </c>
      <c r="I384" s="25" t="n">
        <v>5355.66</v>
      </c>
      <c r="J384" s="32" t="n">
        <f aca="false">F384*G384*H384</f>
        <v>5355.657228978</v>
      </c>
      <c r="K384" s="32" t="n">
        <f aca="false">J384-I384</f>
        <v>-0.00277102199925139</v>
      </c>
      <c r="L384" s="28" t="n">
        <f aca="false">IF(B384=1,12,IF(B384=2,MIN(MAX(D384,1),60),6))</f>
        <v>12</v>
      </c>
      <c r="M384" s="11" t="n">
        <f aca="false">IF(B384=3,1,IFERROR(INDEX(PD_TermStructure!$C$2:$C$241,MATCH(C384&amp;"|"&amp;L384,PD_TermStructure!$D$2:$D$241,0)),0))</f>
        <v>0.109872</v>
      </c>
      <c r="N384" s="22" t="n">
        <f aca="false">(1+E384/100)^(-(L384/12)/2)</f>
        <v>0.938563819722847</v>
      </c>
      <c r="O384" s="32" t="n">
        <f aca="false">IF(H384&lt;=0,0,M384*Assumptions!$B$3*H384*N384)</f>
        <v>25212.292315618</v>
      </c>
      <c r="P384" s="25" t="n">
        <v>25212.29</v>
      </c>
      <c r="Q384" s="32" t="n">
        <f aca="false">O384-P384</f>
        <v>0.002315617948625</v>
      </c>
    </row>
    <row r="385" customFormat="false" ht="15" hidden="false" customHeight="false" outlineLevel="0" collapsed="false">
      <c r="A385" s="14" t="s">
        <v>554</v>
      </c>
      <c r="B385" s="14" t="n">
        <v>1</v>
      </c>
      <c r="C385" s="14" t="s">
        <v>154</v>
      </c>
      <c r="D385" s="14" t="n">
        <v>19</v>
      </c>
      <c r="E385" s="14" t="n">
        <v>10.09</v>
      </c>
      <c r="F385" s="31" t="n">
        <v>0.0194</v>
      </c>
      <c r="G385" s="31" t="n">
        <v>0.5744</v>
      </c>
      <c r="H385" s="25" t="n">
        <v>384527.28</v>
      </c>
      <c r="I385" s="25" t="n">
        <v>4284.93</v>
      </c>
      <c r="J385" s="32" t="n">
        <f aca="false">F385*G385*H385</f>
        <v>4284.9259108608</v>
      </c>
      <c r="K385" s="32" t="n">
        <f aca="false">J385-I385</f>
        <v>-0.00408913919909537</v>
      </c>
      <c r="L385" s="28" t="n">
        <f aca="false">IF(B385=1,12,IF(B385=2,MIN(MAX(D385,1),60),6))</f>
        <v>12</v>
      </c>
      <c r="M385" s="11" t="n">
        <f aca="false">IF(B385=3,1,IFERROR(INDEX(PD_TermStructure!$C$2:$C$241,MATCH(C385&amp;"|"&amp;L385,PD_TermStructure!$D$2:$D$241,0)),0))</f>
        <v>0.109872</v>
      </c>
      <c r="N385" s="22" t="n">
        <f aca="false">(1+E385/100)^(-(L385/12)/2)</f>
        <v>0.953072775555726</v>
      </c>
      <c r="O385" s="32" t="n">
        <f aca="false">IF(H385&lt;=0,0,M385*Assumptions!$B$3*H385*N385)</f>
        <v>16699.1659750387</v>
      </c>
      <c r="P385" s="25" t="n">
        <v>16699.17</v>
      </c>
      <c r="Q385" s="32" t="n">
        <f aca="false">O385-P385</f>
        <v>-0.00402496126116603</v>
      </c>
    </row>
    <row r="386" customFormat="false" ht="15" hidden="false" customHeight="false" outlineLevel="0" collapsed="false">
      <c r="A386" s="14" t="s">
        <v>555</v>
      </c>
      <c r="B386" s="14" t="n">
        <v>1</v>
      </c>
      <c r="C386" s="14" t="s">
        <v>154</v>
      </c>
      <c r="D386" s="14" t="n">
        <v>39</v>
      </c>
      <c r="E386" s="14" t="n">
        <v>13.67</v>
      </c>
      <c r="F386" s="31" t="n">
        <v>0.0196</v>
      </c>
      <c r="G386" s="31" t="n">
        <v>0.4513</v>
      </c>
      <c r="H386" s="25" t="n">
        <v>919717.07</v>
      </c>
      <c r="I386" s="25" t="n">
        <v>8135.34</v>
      </c>
      <c r="J386" s="32" t="n">
        <f aca="false">F386*G386*H386</f>
        <v>8135.3389483436</v>
      </c>
      <c r="K386" s="32" t="n">
        <f aca="false">J386-I386</f>
        <v>-0.00105165640161431</v>
      </c>
      <c r="L386" s="28" t="n">
        <f aca="false">IF(B386=1,12,IF(B386=2,MIN(MAX(D386,1),60),6))</f>
        <v>12</v>
      </c>
      <c r="M386" s="11" t="n">
        <f aca="false">IF(B386=3,1,IFERROR(INDEX(PD_TermStructure!$C$2:$C$241,MATCH(C386&amp;"|"&amp;L386,PD_TermStructure!$D$2:$D$241,0)),0))</f>
        <v>0.109872</v>
      </c>
      <c r="N386" s="22" t="n">
        <f aca="false">(1+E386/100)^(-(L386/12)/2)</f>
        <v>0.937944346472254</v>
      </c>
      <c r="O386" s="32" t="n">
        <f aca="false">IF(H386&lt;=0,0,M386*Assumptions!$B$3*H386*N386)</f>
        <v>39307.2696710489</v>
      </c>
      <c r="P386" s="25" t="n">
        <v>39307.27</v>
      </c>
      <c r="Q386" s="32" t="n">
        <f aca="false">O386-P386</f>
        <v>-0.00032895114418352</v>
      </c>
    </row>
    <row r="387" customFormat="false" ht="15" hidden="false" customHeight="false" outlineLevel="0" collapsed="false">
      <c r="A387" s="14" t="s">
        <v>556</v>
      </c>
      <c r="B387" s="14" t="n">
        <v>1</v>
      </c>
      <c r="C387" s="14" t="s">
        <v>154</v>
      </c>
      <c r="D387" s="14" t="n">
        <v>59</v>
      </c>
      <c r="E387" s="14" t="n">
        <v>12.01</v>
      </c>
      <c r="F387" s="31" t="n">
        <v>0.0223</v>
      </c>
      <c r="G387" s="31" t="n">
        <v>0.4658</v>
      </c>
      <c r="H387" s="25" t="n">
        <v>1369919.43</v>
      </c>
      <c r="I387" s="25" t="n">
        <v>14229.82</v>
      </c>
      <c r="J387" s="32" t="n">
        <f aca="false">F387*G387*H387</f>
        <v>14229.8188920162</v>
      </c>
      <c r="K387" s="32" t="n">
        <f aca="false">J387-I387</f>
        <v>-0.00110798380046617</v>
      </c>
      <c r="L387" s="28" t="n">
        <f aca="false">IF(B387=1,12,IF(B387=2,MIN(MAX(D387,1),60),6))</f>
        <v>12</v>
      </c>
      <c r="M387" s="11" t="n">
        <f aca="false">IF(B387=3,1,IFERROR(INDEX(PD_TermStructure!$C$2:$C$241,MATCH(C387&amp;"|"&amp;L387,PD_TermStructure!$D$2:$D$241,0)),0))</f>
        <v>0.109872</v>
      </c>
      <c r="N387" s="22" t="n">
        <f aca="false">(1+E387/100)^(-(L387/12)/2)</f>
        <v>0.944869001812714</v>
      </c>
      <c r="O387" s="32" t="n">
        <f aca="false">IF(H387&lt;=0,0,M387*Assumptions!$B$3*H387*N387)</f>
        <v>58980.4644317843</v>
      </c>
      <c r="P387" s="25" t="n">
        <v>58980.46</v>
      </c>
      <c r="Q387" s="32" t="n">
        <f aca="false">O387-P387</f>
        <v>0.00443178431305569</v>
      </c>
    </row>
    <row r="388" customFormat="false" ht="15" hidden="false" customHeight="false" outlineLevel="0" collapsed="false">
      <c r="A388" s="14" t="s">
        <v>557</v>
      </c>
      <c r="B388" s="14" t="n">
        <v>1</v>
      </c>
      <c r="C388" s="14" t="s">
        <v>154</v>
      </c>
      <c r="D388" s="14" t="n">
        <v>65</v>
      </c>
      <c r="E388" s="14" t="n">
        <v>9.71</v>
      </c>
      <c r="F388" s="31" t="n">
        <v>0.0241</v>
      </c>
      <c r="G388" s="31" t="n">
        <v>0.4589</v>
      </c>
      <c r="H388" s="25" t="n">
        <v>1232701.75</v>
      </c>
      <c r="I388" s="25" t="n">
        <v>13633.05</v>
      </c>
      <c r="J388" s="32" t="n">
        <f aca="false">F388*G388*H388</f>
        <v>13633.0526771075</v>
      </c>
      <c r="K388" s="32" t="n">
        <f aca="false">J388-I388</f>
        <v>0.00267710750085826</v>
      </c>
      <c r="L388" s="28" t="n">
        <f aca="false">IF(B388=1,12,IF(B388=2,MIN(MAX(D388,1),60),6))</f>
        <v>12</v>
      </c>
      <c r="M388" s="11" t="n">
        <f aca="false">IF(B388=3,1,IFERROR(INDEX(PD_TermStructure!$C$2:$C$241,MATCH(C388&amp;"|"&amp;L388,PD_TermStructure!$D$2:$D$241,0)),0))</f>
        <v>0.109872</v>
      </c>
      <c r="N388" s="22" t="n">
        <f aca="false">(1+E388/100)^(-(L388/12)/2)</f>
        <v>0.954721916877008</v>
      </c>
      <c r="O388" s="32" t="n">
        <f aca="false">IF(H388&lt;=0,0,M388*Assumptions!$B$3*H388*N388)</f>
        <v>53626.1311739323</v>
      </c>
      <c r="P388" s="25" t="n">
        <v>53626.13</v>
      </c>
      <c r="Q388" s="32" t="n">
        <f aca="false">O388-P388</f>
        <v>0.00117393226537388</v>
      </c>
    </row>
    <row r="389" customFormat="false" ht="15" hidden="false" customHeight="false" outlineLevel="0" collapsed="false">
      <c r="A389" s="14" t="s">
        <v>558</v>
      </c>
      <c r="B389" s="14" t="n">
        <v>1</v>
      </c>
      <c r="C389" s="14" t="s">
        <v>154</v>
      </c>
      <c r="D389" s="14" t="n">
        <v>45</v>
      </c>
      <c r="E389" s="14" t="n">
        <v>10.37</v>
      </c>
      <c r="F389" s="31" t="n">
        <v>0.0252</v>
      </c>
      <c r="G389" s="31" t="n">
        <v>0.5255</v>
      </c>
      <c r="H389" s="25" t="n">
        <v>282955.04</v>
      </c>
      <c r="I389" s="25" t="n">
        <v>3747.06</v>
      </c>
      <c r="J389" s="32" t="n">
        <f aca="false">F389*G389*H389</f>
        <v>3747.060412704</v>
      </c>
      <c r="K389" s="32" t="n">
        <f aca="false">J389-I389</f>
        <v>0.000412703999245423</v>
      </c>
      <c r="L389" s="28" t="n">
        <f aca="false">IF(B389=1,12,IF(B389=2,MIN(MAX(D389,1),60),6))</f>
        <v>12</v>
      </c>
      <c r="M389" s="11" t="n">
        <f aca="false">IF(B389=3,1,IFERROR(INDEX(PD_TermStructure!$C$2:$C$241,MATCH(C389&amp;"|"&amp;L389,PD_TermStructure!$D$2:$D$241,0)),0))</f>
        <v>0.109872</v>
      </c>
      <c r="N389" s="22" t="n">
        <f aca="false">(1+E389/100)^(-(L389/12)/2)</f>
        <v>0.951863072542561</v>
      </c>
      <c r="O389" s="32" t="n">
        <f aca="false">IF(H389&lt;=0,0,M389*Assumptions!$B$3*H389*N389)</f>
        <v>12272.5122394974</v>
      </c>
      <c r="P389" s="25" t="n">
        <v>12272.51</v>
      </c>
      <c r="Q389" s="32" t="n">
        <f aca="false">O389-P389</f>
        <v>0.00223949743121921</v>
      </c>
    </row>
    <row r="390" customFormat="false" ht="15" hidden="false" customHeight="false" outlineLevel="0" collapsed="false">
      <c r="A390" s="14" t="s">
        <v>559</v>
      </c>
      <c r="B390" s="14" t="n">
        <v>1</v>
      </c>
      <c r="C390" s="14" t="s">
        <v>154</v>
      </c>
      <c r="D390" s="14" t="n">
        <v>8</v>
      </c>
      <c r="E390" s="14" t="n">
        <v>8.28</v>
      </c>
      <c r="F390" s="31" t="n">
        <v>0.0199</v>
      </c>
      <c r="G390" s="31" t="n">
        <v>0.6217</v>
      </c>
      <c r="H390" s="25" t="n">
        <v>132090.83</v>
      </c>
      <c r="I390" s="25" t="n">
        <v>1634.21</v>
      </c>
      <c r="J390" s="32" t="n">
        <f aca="false">F390*G390*H390</f>
        <v>1634.2052933189</v>
      </c>
      <c r="K390" s="32" t="n">
        <f aca="false">J390-I390</f>
        <v>-0.00470668109983308</v>
      </c>
      <c r="L390" s="28" t="n">
        <f aca="false">IF(B390=1,12,IF(B390=2,MIN(MAX(D390,1),60),6))</f>
        <v>12</v>
      </c>
      <c r="M390" s="11" t="n">
        <f aca="false">IF(B390=3,1,IFERROR(INDEX(PD_TermStructure!$C$2:$C$241,MATCH(C390&amp;"|"&amp;L390,PD_TermStructure!$D$2:$D$241,0)),0))</f>
        <v>0.109872</v>
      </c>
      <c r="N390" s="22" t="n">
        <f aca="false">(1+E390/100)^(-(L390/12)/2)</f>
        <v>0.961005507153939</v>
      </c>
      <c r="O390" s="32" t="n">
        <f aca="false">IF(H390&lt;=0,0,M390*Assumptions!$B$3*H390*N390)</f>
        <v>5784.15745517225</v>
      </c>
      <c r="P390" s="25" t="n">
        <v>5784.16</v>
      </c>
      <c r="Q390" s="32" t="n">
        <f aca="false">O390-P390</f>
        <v>-0.00254482775017095</v>
      </c>
    </row>
    <row r="391" customFormat="false" ht="15" hidden="false" customHeight="false" outlineLevel="0" collapsed="false">
      <c r="A391" s="14" t="s">
        <v>560</v>
      </c>
      <c r="B391" s="14" t="n">
        <v>1</v>
      </c>
      <c r="C391" s="14" t="s">
        <v>155</v>
      </c>
      <c r="D391" s="14" t="n">
        <v>59</v>
      </c>
      <c r="E391" s="14" t="n">
        <v>10.16</v>
      </c>
      <c r="F391" s="31" t="n">
        <v>0.0172</v>
      </c>
      <c r="G391" s="31" t="n">
        <v>0.624</v>
      </c>
      <c r="H391" s="25" t="n">
        <v>313363.27</v>
      </c>
      <c r="I391" s="25" t="n">
        <v>3363.27</v>
      </c>
      <c r="J391" s="32" t="n">
        <f aca="false">F391*G391*H391</f>
        <v>3363.265304256</v>
      </c>
      <c r="K391" s="32" t="n">
        <f aca="false">J391-I391</f>
        <v>-0.00469574399949124</v>
      </c>
      <c r="L391" s="28" t="n">
        <f aca="false">IF(B391=1,12,IF(B391=2,MIN(MAX(D391,1),60),6))</f>
        <v>12</v>
      </c>
      <c r="M391" s="11" t="n">
        <f aca="false">IF(B391=3,1,IFERROR(INDEX(PD_TermStructure!$C$2:$C$241,MATCH(C391&amp;"|"&amp;L391,PD_TermStructure!$D$2:$D$241,0)),0))</f>
        <v>0.164153</v>
      </c>
      <c r="N391" s="22" t="n">
        <f aca="false">(1+E391/100)^(-(L391/12)/2)</f>
        <v>0.952769917458383</v>
      </c>
      <c r="O391" s="32" t="n">
        <f aca="false">IF(H391&lt;=0,0,M391*Assumptions!$B$3*H391*N391)</f>
        <v>20325.417829367</v>
      </c>
      <c r="P391" s="25" t="n">
        <v>20325.42</v>
      </c>
      <c r="Q391" s="32" t="n">
        <f aca="false">O391-P391</f>
        <v>-0.00217063297168352</v>
      </c>
    </row>
    <row r="392" customFormat="false" ht="15" hidden="false" customHeight="false" outlineLevel="0" collapsed="false">
      <c r="A392" s="14" t="s">
        <v>561</v>
      </c>
      <c r="B392" s="14" t="n">
        <v>1</v>
      </c>
      <c r="C392" s="14" t="s">
        <v>154</v>
      </c>
      <c r="D392" s="14" t="n">
        <v>0</v>
      </c>
      <c r="E392" s="14" t="n">
        <v>12.56</v>
      </c>
      <c r="F392" s="31" t="n">
        <v>0.0192</v>
      </c>
      <c r="G392" s="31" t="n">
        <v>0.5557</v>
      </c>
      <c r="H392" s="25" t="n">
        <v>0</v>
      </c>
      <c r="I392" s="25" t="n">
        <v>0</v>
      </c>
      <c r="J392" s="32" t="n">
        <f aca="false">F392*G392*H392</f>
        <v>0</v>
      </c>
      <c r="K392" s="32" t="n">
        <f aca="false">J392-I392</f>
        <v>0</v>
      </c>
      <c r="L392" s="28" t="n">
        <f aca="false">IF(B392=1,12,IF(B392=2,MIN(MAX(D392,1),60),6))</f>
        <v>12</v>
      </c>
      <c r="M392" s="11" t="n">
        <f aca="false">IF(B392=3,1,IFERROR(INDEX(PD_TermStructure!$C$2:$C$241,MATCH(C392&amp;"|"&amp;L392,PD_TermStructure!$D$2:$D$241,0)),0))</f>
        <v>0.109872</v>
      </c>
      <c r="N392" s="22" t="n">
        <f aca="false">(1+E392/100)^(-(L392/12)/2)</f>
        <v>0.942557726359264</v>
      </c>
      <c r="O392" s="32" t="n">
        <f aca="false">IF(H392&lt;=0,0,M392*Assumptions!$B$3*H392*N392)</f>
        <v>0</v>
      </c>
      <c r="P392" s="25" t="n">
        <v>0</v>
      </c>
      <c r="Q392" s="32" t="n">
        <f aca="false">O392-P392</f>
        <v>0</v>
      </c>
    </row>
    <row r="393" customFormat="false" ht="15" hidden="false" customHeight="false" outlineLevel="0" collapsed="false">
      <c r="A393" s="14" t="s">
        <v>562</v>
      </c>
      <c r="B393" s="14" t="n">
        <v>1</v>
      </c>
      <c r="C393" s="14" t="s">
        <v>154</v>
      </c>
      <c r="D393" s="14" t="n">
        <v>36</v>
      </c>
      <c r="E393" s="14" t="n">
        <v>11.05</v>
      </c>
      <c r="F393" s="31" t="n">
        <v>0.0201</v>
      </c>
      <c r="G393" s="31" t="n">
        <v>0.4356</v>
      </c>
      <c r="H393" s="25" t="n">
        <v>717117.42</v>
      </c>
      <c r="I393" s="25" t="n">
        <v>6278.76</v>
      </c>
      <c r="J393" s="32" t="n">
        <f aca="false">F393*G393*H393</f>
        <v>6278.7645978552</v>
      </c>
      <c r="K393" s="32" t="n">
        <f aca="false">J393-I393</f>
        <v>0.0045978551997905</v>
      </c>
      <c r="L393" s="28" t="n">
        <f aca="false">IF(B393=1,12,IF(B393=2,MIN(MAX(D393,1),60),6))</f>
        <v>12</v>
      </c>
      <c r="M393" s="11" t="n">
        <f aca="false">IF(B393=3,1,IFERROR(INDEX(PD_TermStructure!$C$2:$C$241,MATCH(C393&amp;"|"&amp;L393,PD_TermStructure!$D$2:$D$241,0)),0))</f>
        <v>0.109872</v>
      </c>
      <c r="N393" s="22" t="n">
        <f aca="false">(1+E393/100)^(-(L393/12)/2)</f>
        <v>0.948944293623087</v>
      </c>
      <c r="O393" s="32" t="n">
        <f aca="false">IF(H393&lt;=0,0,M393*Assumptions!$B$3*H393*N393)</f>
        <v>31007.9140891024</v>
      </c>
      <c r="P393" s="25" t="n">
        <v>31007.91</v>
      </c>
      <c r="Q393" s="32" t="n">
        <f aca="false">O393-P393</f>
        <v>0.00408910236365045</v>
      </c>
    </row>
    <row r="394" customFormat="false" ht="15" hidden="false" customHeight="false" outlineLevel="0" collapsed="false">
      <c r="A394" s="14" t="s">
        <v>563</v>
      </c>
      <c r="B394" s="14" t="n">
        <v>1</v>
      </c>
      <c r="C394" s="14" t="s">
        <v>155</v>
      </c>
      <c r="D394" s="14" t="n">
        <v>1</v>
      </c>
      <c r="E394" s="14" t="n">
        <v>14.34</v>
      </c>
      <c r="F394" s="31" t="n">
        <v>0.0167</v>
      </c>
      <c r="G394" s="31" t="n">
        <v>0.4012</v>
      </c>
      <c r="H394" s="25" t="n">
        <v>11816.28</v>
      </c>
      <c r="I394" s="25" t="n">
        <v>79.17</v>
      </c>
      <c r="J394" s="32" t="n">
        <f aca="false">F394*G394*H394</f>
        <v>79.1695486512</v>
      </c>
      <c r="K394" s="32" t="n">
        <f aca="false">J394-I394</f>
        <v>-0.000451348799998641</v>
      </c>
      <c r="L394" s="28" t="n">
        <f aca="false">IF(B394=1,12,IF(B394=2,MIN(MAX(D394,1),60),6))</f>
        <v>12</v>
      </c>
      <c r="M394" s="11" t="n">
        <f aca="false">IF(B394=3,1,IFERROR(INDEX(PD_TermStructure!$C$2:$C$241,MATCH(C394&amp;"|"&amp;L394,PD_TermStructure!$D$2:$D$241,0)),0))</f>
        <v>0.164153</v>
      </c>
      <c r="N394" s="22" t="n">
        <f aca="false">(1+E394/100)^(-(L394/12)/2)</f>
        <v>0.935192264899654</v>
      </c>
      <c r="O394" s="32" t="n">
        <f aca="false">IF(H394&lt;=0,0,M394*Assumptions!$B$3*H394*N394)</f>
        <v>752.289559944033</v>
      </c>
      <c r="P394" s="25" t="n">
        <v>752.29</v>
      </c>
      <c r="Q394" s="32" t="n">
        <f aca="false">O394-P394</f>
        <v>-0.000440055966691943</v>
      </c>
    </row>
    <row r="395" customFormat="false" ht="15" hidden="false" customHeight="false" outlineLevel="0" collapsed="false">
      <c r="A395" s="14" t="s">
        <v>564</v>
      </c>
      <c r="B395" s="14" t="n">
        <v>1</v>
      </c>
      <c r="C395" s="14" t="s">
        <v>154</v>
      </c>
      <c r="D395" s="14" t="n">
        <v>34</v>
      </c>
      <c r="E395" s="14" t="n">
        <v>10.3</v>
      </c>
      <c r="F395" s="31" t="n">
        <v>0.0167</v>
      </c>
      <c r="G395" s="31" t="n">
        <v>0.496</v>
      </c>
      <c r="H395" s="25" t="n">
        <v>1486358.86</v>
      </c>
      <c r="I395" s="25" t="n">
        <v>12311.81</v>
      </c>
      <c r="J395" s="32" t="n">
        <f aca="false">F395*G395*H395</f>
        <v>12311.807709152</v>
      </c>
      <c r="K395" s="32" t="n">
        <f aca="false">J395-I395</f>
        <v>-0.0022908480004844</v>
      </c>
      <c r="L395" s="28" t="n">
        <f aca="false">IF(B395=1,12,IF(B395=2,MIN(MAX(D395,1),60),6))</f>
        <v>12</v>
      </c>
      <c r="M395" s="11" t="n">
        <f aca="false">IF(B395=3,1,IFERROR(INDEX(PD_TermStructure!$C$2:$C$241,MATCH(C395&amp;"|"&amp;L395,PD_TermStructure!$D$2:$D$241,0)),0))</f>
        <v>0.109872</v>
      </c>
      <c r="N395" s="22" t="n">
        <f aca="false">(1+E395/100)^(-(L395/12)/2)</f>
        <v>0.952165066409148</v>
      </c>
      <c r="O395" s="32" t="n">
        <f aca="false">IF(H395&lt;=0,0,M395*Assumptions!$B$3*H395*N395)</f>
        <v>64487.7881149492</v>
      </c>
      <c r="P395" s="25" t="n">
        <v>64487.79</v>
      </c>
      <c r="Q395" s="32" t="n">
        <f aca="false">O395-P395</f>
        <v>-0.00188505075493595</v>
      </c>
    </row>
    <row r="396" customFormat="false" ht="15" hidden="false" customHeight="false" outlineLevel="0" collapsed="false">
      <c r="A396" s="14" t="s">
        <v>565</v>
      </c>
      <c r="B396" s="14" t="n">
        <v>1</v>
      </c>
      <c r="C396" s="14" t="s">
        <v>154</v>
      </c>
      <c r="D396" s="14" t="n">
        <v>34</v>
      </c>
      <c r="E396" s="14" t="n">
        <v>13.13</v>
      </c>
      <c r="F396" s="31" t="n">
        <v>0.0142</v>
      </c>
      <c r="G396" s="31" t="n">
        <v>0.461</v>
      </c>
      <c r="H396" s="25" t="n">
        <v>319574.26</v>
      </c>
      <c r="I396" s="25" t="n">
        <v>2092</v>
      </c>
      <c r="J396" s="32" t="n">
        <f aca="false">F396*G396*H396</f>
        <v>2091.997020812</v>
      </c>
      <c r="K396" s="32" t="n">
        <f aca="false">J396-I396</f>
        <v>-0.00297918799969921</v>
      </c>
      <c r="L396" s="28" t="n">
        <f aca="false">IF(B396=1,12,IF(B396=2,MIN(MAX(D396,1),60),6))</f>
        <v>12</v>
      </c>
      <c r="M396" s="11" t="n">
        <f aca="false">IF(B396=3,1,IFERROR(INDEX(PD_TermStructure!$C$2:$C$241,MATCH(C396&amp;"|"&amp;L396,PD_TermStructure!$D$2:$D$241,0)),0))</f>
        <v>0.109872</v>
      </c>
      <c r="N396" s="22" t="n">
        <f aca="false">(1+E396/100)^(-(L396/12)/2)</f>
        <v>0.940180212210864</v>
      </c>
      <c r="O396" s="32" t="n">
        <f aca="false">IF(H396&lt;=0,0,M396*Assumptions!$B$3*H396*N396)</f>
        <v>13690.6623463688</v>
      </c>
      <c r="P396" s="25" t="n">
        <v>13690.66</v>
      </c>
      <c r="Q396" s="32" t="n">
        <f aca="false">O396-P396</f>
        <v>0.00234636883760686</v>
      </c>
    </row>
    <row r="397" customFormat="false" ht="15" hidden="false" customHeight="false" outlineLevel="0" collapsed="false">
      <c r="A397" s="14" t="s">
        <v>566</v>
      </c>
      <c r="B397" s="14" t="n">
        <v>2</v>
      </c>
      <c r="C397" s="14" t="s">
        <v>156</v>
      </c>
      <c r="D397" s="14" t="n">
        <v>76</v>
      </c>
      <c r="E397" s="14" t="n">
        <v>14.3</v>
      </c>
      <c r="F397" s="31" t="n">
        <v>0.0888</v>
      </c>
      <c r="G397" s="31" t="n">
        <v>0.4669</v>
      </c>
      <c r="H397" s="25" t="n">
        <v>1455421.78</v>
      </c>
      <c r="I397" s="25" t="n">
        <v>60342.83</v>
      </c>
      <c r="J397" s="32" t="n">
        <f aca="false">F397*G397*H397</f>
        <v>60342.8349024816</v>
      </c>
      <c r="K397" s="32" t="n">
        <f aca="false">J397-I397</f>
        <v>0.00490248159621842</v>
      </c>
      <c r="L397" s="28" t="n">
        <f aca="false">IF(B397=1,12,IF(B397=2,MIN(MAX(D397,1),60),6))</f>
        <v>60</v>
      </c>
      <c r="M397" s="11" t="n">
        <f aca="false">IF(B397=3,1,IFERROR(INDEX(PD_TermStructure!$C$2:$C$241,MATCH(C397&amp;"|"&amp;L397,PD_TermStructure!$D$2:$D$241,0)),0))</f>
        <v>1</v>
      </c>
      <c r="N397" s="22" t="n">
        <f aca="false">(1+E397/100)^(-(L397/12)/2)</f>
        <v>0.715952852945036</v>
      </c>
      <c r="O397" s="32" t="n">
        <f aca="false">IF(H397&lt;=0,0,M397*Assumptions!$B$3*H397*N397)</f>
        <v>432143.340631535</v>
      </c>
      <c r="P397" s="25" t="n">
        <v>432143.34</v>
      </c>
      <c r="Q397" s="32" t="n">
        <f aca="false">O397-P397</f>
        <v>0.000631535076536238</v>
      </c>
    </row>
    <row r="398" customFormat="false" ht="15" hidden="false" customHeight="false" outlineLevel="0" collapsed="false">
      <c r="A398" s="14" t="s">
        <v>567</v>
      </c>
      <c r="B398" s="14" t="n">
        <v>1</v>
      </c>
      <c r="C398" s="14" t="s">
        <v>154</v>
      </c>
      <c r="D398" s="14" t="n">
        <v>30</v>
      </c>
      <c r="E398" s="14" t="n">
        <v>14.2</v>
      </c>
      <c r="F398" s="31" t="n">
        <v>0.0224</v>
      </c>
      <c r="G398" s="31" t="n">
        <v>0.6058</v>
      </c>
      <c r="H398" s="25" t="n">
        <v>395672.39</v>
      </c>
      <c r="I398" s="25" t="n">
        <v>5369.24</v>
      </c>
      <c r="J398" s="32" t="n">
        <f aca="false">F398*G398*H398</f>
        <v>5369.2426785088</v>
      </c>
      <c r="K398" s="32" t="n">
        <f aca="false">J398-I398</f>
        <v>0.00267850880027254</v>
      </c>
      <c r="L398" s="28" t="n">
        <f aca="false">IF(B398=1,12,IF(B398=2,MIN(MAX(D398,1),60),6))</f>
        <v>12</v>
      </c>
      <c r="M398" s="11" t="n">
        <f aca="false">IF(B398=3,1,IFERROR(INDEX(PD_TermStructure!$C$2:$C$241,MATCH(C398&amp;"|"&amp;L398,PD_TermStructure!$D$2:$D$241,0)),0))</f>
        <v>0.109872</v>
      </c>
      <c r="N398" s="22" t="n">
        <f aca="false">(1+E398/100)^(-(L398/12)/2)</f>
        <v>0.935765324510861</v>
      </c>
      <c r="O398" s="32" t="n">
        <f aca="false">IF(H398&lt;=0,0,M398*Assumptions!$B$3*H398*N398)</f>
        <v>16871.1332481676</v>
      </c>
      <c r="P398" s="25" t="n">
        <v>16871.13</v>
      </c>
      <c r="Q398" s="32" t="n">
        <f aca="false">O398-P398</f>
        <v>0.00324816756256041</v>
      </c>
    </row>
    <row r="399" customFormat="false" ht="15" hidden="false" customHeight="false" outlineLevel="0" collapsed="false">
      <c r="A399" s="14" t="s">
        <v>568</v>
      </c>
      <c r="B399" s="14" t="n">
        <v>1</v>
      </c>
      <c r="C399" s="14" t="s">
        <v>154</v>
      </c>
      <c r="D399" s="14" t="n">
        <v>46</v>
      </c>
      <c r="E399" s="14" t="n">
        <v>8.25</v>
      </c>
      <c r="F399" s="31" t="n">
        <v>0.0215</v>
      </c>
      <c r="G399" s="31" t="n">
        <v>0.5439</v>
      </c>
      <c r="H399" s="25" t="n">
        <v>485211.75</v>
      </c>
      <c r="I399" s="25" t="n">
        <v>5673.99</v>
      </c>
      <c r="J399" s="32" t="n">
        <f aca="false">F399*G399*H399</f>
        <v>5673.9934227375</v>
      </c>
      <c r="K399" s="32" t="n">
        <f aca="false">J399-I399</f>
        <v>0.00342273750084132</v>
      </c>
      <c r="L399" s="28" t="n">
        <f aca="false">IF(B399=1,12,IF(B399=2,MIN(MAX(D399,1),60),6))</f>
        <v>12</v>
      </c>
      <c r="M399" s="11" t="n">
        <f aca="false">IF(B399=3,1,IFERROR(INDEX(PD_TermStructure!$C$2:$C$241,MATCH(C399&amp;"|"&amp;L399,PD_TermStructure!$D$2:$D$241,0)),0))</f>
        <v>0.109872</v>
      </c>
      <c r="N399" s="22" t="n">
        <f aca="false">(1+E399/100)^(-(L399/12)/2)</f>
        <v>0.961138662664426</v>
      </c>
      <c r="O399" s="32" t="n">
        <f aca="false">IF(H399&lt;=0,0,M399*Assumptions!$B$3*H399*N399)</f>
        <v>21249.9991961411</v>
      </c>
      <c r="P399" s="25" t="n">
        <v>21250</v>
      </c>
      <c r="Q399" s="32" t="n">
        <f aca="false">O399-P399</f>
        <v>-0.00080385888213641</v>
      </c>
    </row>
    <row r="400" customFormat="false" ht="15" hidden="false" customHeight="false" outlineLevel="0" collapsed="false">
      <c r="A400" s="14" t="s">
        <v>569</v>
      </c>
      <c r="B400" s="14" t="n">
        <v>1</v>
      </c>
      <c r="C400" s="14" t="s">
        <v>154</v>
      </c>
      <c r="D400" s="14" t="n">
        <v>41</v>
      </c>
      <c r="E400" s="14" t="n">
        <v>8.56</v>
      </c>
      <c r="F400" s="31" t="n">
        <v>0.0206</v>
      </c>
      <c r="G400" s="31" t="n">
        <v>0.3768</v>
      </c>
      <c r="H400" s="25" t="n">
        <v>1010821.32</v>
      </c>
      <c r="I400" s="25" t="n">
        <v>7846.08</v>
      </c>
      <c r="J400" s="32" t="n">
        <f aca="false">F400*G400*H400</f>
        <v>7846.0759515456</v>
      </c>
      <c r="K400" s="32" t="n">
        <f aca="false">J400-I400</f>
        <v>-0.00404845439970814</v>
      </c>
      <c r="L400" s="28" t="n">
        <f aca="false">IF(B400=1,12,IF(B400=2,MIN(MAX(D400,1),60),6))</f>
        <v>12</v>
      </c>
      <c r="M400" s="11" t="n">
        <f aca="false">IF(B400=3,1,IFERROR(INDEX(PD_TermStructure!$C$2:$C$241,MATCH(C400&amp;"|"&amp;L400,PD_TermStructure!$D$2:$D$241,0)),0))</f>
        <v>0.109872</v>
      </c>
      <c r="N400" s="22" t="n">
        <f aca="false">(1+E400/100)^(-(L400/12)/2)</f>
        <v>0.959765385234422</v>
      </c>
      <c r="O400" s="32" t="n">
        <f aca="false">IF(H400&lt;=0,0,M400*Assumptions!$B$3*H400*N400)</f>
        <v>44205.9814619451</v>
      </c>
      <c r="P400" s="25" t="n">
        <v>44205.98</v>
      </c>
      <c r="Q400" s="32" t="n">
        <f aca="false">O400-P400</f>
        <v>0.00146194507397013</v>
      </c>
    </row>
    <row r="401" customFormat="false" ht="15" hidden="false" customHeight="false" outlineLevel="0" collapsed="false">
      <c r="A401" s="14" t="s">
        <v>570</v>
      </c>
      <c r="B401" s="14" t="n">
        <v>1</v>
      </c>
      <c r="C401" s="14" t="s">
        <v>154</v>
      </c>
      <c r="D401" s="14" t="n">
        <v>46</v>
      </c>
      <c r="E401" s="14" t="n">
        <v>11</v>
      </c>
      <c r="F401" s="31" t="n">
        <v>0.0201</v>
      </c>
      <c r="G401" s="31" t="n">
        <v>0.5987</v>
      </c>
      <c r="H401" s="25" t="n">
        <v>326573.11</v>
      </c>
      <c r="I401" s="25" t="n">
        <v>3929.94</v>
      </c>
      <c r="J401" s="32" t="n">
        <f aca="false">F401*G401*H401</f>
        <v>3929.9383512357</v>
      </c>
      <c r="K401" s="32" t="n">
        <f aca="false">J401-I401</f>
        <v>-0.00164876430017102</v>
      </c>
      <c r="L401" s="28" t="n">
        <f aca="false">IF(B401=1,12,IF(B401=2,MIN(MAX(D401,1),60),6))</f>
        <v>12</v>
      </c>
      <c r="M401" s="11" t="n">
        <f aca="false">IF(B401=3,1,IFERROR(INDEX(PD_TermStructure!$C$2:$C$241,MATCH(C401&amp;"|"&amp;L401,PD_TermStructure!$D$2:$D$241,0)),0))</f>
        <v>0.109872</v>
      </c>
      <c r="N401" s="22" t="n">
        <f aca="false">(1+E401/100)^(-(L401/12)/2)</f>
        <v>0.949157995752499</v>
      </c>
      <c r="O401" s="32" t="n">
        <f aca="false">IF(H401&lt;=0,0,M401*Assumptions!$B$3*H401*N401)</f>
        <v>14124.0905730375</v>
      </c>
      <c r="P401" s="25" t="n">
        <v>14124.09</v>
      </c>
      <c r="Q401" s="32" t="n">
        <f aca="false">O401-P401</f>
        <v>0.000573037545109401</v>
      </c>
    </row>
    <row r="402" customFormat="false" ht="15" hidden="false" customHeight="false" outlineLevel="0" collapsed="false">
      <c r="A402" s="14" t="s">
        <v>571</v>
      </c>
      <c r="B402" s="14" t="n">
        <v>1</v>
      </c>
      <c r="C402" s="14" t="s">
        <v>154</v>
      </c>
      <c r="D402" s="14" t="n">
        <v>28</v>
      </c>
      <c r="E402" s="14" t="n">
        <v>9.79</v>
      </c>
      <c r="F402" s="31" t="n">
        <v>0.024</v>
      </c>
      <c r="G402" s="31" t="n">
        <v>0.5523</v>
      </c>
      <c r="H402" s="25" t="n">
        <v>653354.78</v>
      </c>
      <c r="I402" s="25" t="n">
        <v>8660.35</v>
      </c>
      <c r="J402" s="32" t="n">
        <f aca="false">F402*G402*H402</f>
        <v>8660.348279856</v>
      </c>
      <c r="K402" s="32" t="n">
        <f aca="false">J402-I402</f>
        <v>-0.00172014400050102</v>
      </c>
      <c r="L402" s="28" t="n">
        <f aca="false">IF(B402=1,12,IF(B402=2,MIN(MAX(D402,1),60),6))</f>
        <v>12</v>
      </c>
      <c r="M402" s="11" t="n">
        <f aca="false">IF(B402=3,1,IFERROR(INDEX(PD_TermStructure!$C$2:$C$241,MATCH(C402&amp;"|"&amp;L402,PD_TermStructure!$D$2:$D$241,0)),0))</f>
        <v>0.109872</v>
      </c>
      <c r="N402" s="22" t="n">
        <f aca="false">(1+E402/100)^(-(L402/12)/2)</f>
        <v>0.954374017834072</v>
      </c>
      <c r="O402" s="32" t="n">
        <f aca="false">IF(H402&lt;=0,0,M402*Assumptions!$B$3*H402*N402)</f>
        <v>28412.4864368672</v>
      </c>
      <c r="P402" s="25" t="n">
        <v>28412.49</v>
      </c>
      <c r="Q402" s="32" t="n">
        <f aca="false">O402-P402</f>
        <v>-0.00356313277006848</v>
      </c>
    </row>
    <row r="403" customFormat="false" ht="15" hidden="false" customHeight="false" outlineLevel="0" collapsed="false">
      <c r="A403" s="14" t="s">
        <v>572</v>
      </c>
      <c r="B403" s="14" t="n">
        <v>1</v>
      </c>
      <c r="C403" s="14" t="s">
        <v>154</v>
      </c>
      <c r="D403" s="14" t="n">
        <v>32</v>
      </c>
      <c r="E403" s="14" t="n">
        <v>10.71</v>
      </c>
      <c r="F403" s="31" t="n">
        <v>0.0193</v>
      </c>
      <c r="G403" s="31" t="n">
        <v>0.5686</v>
      </c>
      <c r="H403" s="25" t="n">
        <v>480855.4</v>
      </c>
      <c r="I403" s="25" t="n">
        <v>5276.9</v>
      </c>
      <c r="J403" s="32" t="n">
        <f aca="false">F403*G403*H403</f>
        <v>5276.897542492</v>
      </c>
      <c r="K403" s="32" t="n">
        <f aca="false">J403-I403</f>
        <v>-0.00245750799876987</v>
      </c>
      <c r="L403" s="28" t="n">
        <f aca="false">IF(B403=1,12,IF(B403=2,MIN(MAX(D403,1),60),6))</f>
        <v>12</v>
      </c>
      <c r="M403" s="11" t="n">
        <f aca="false">IF(B403=3,1,IFERROR(INDEX(PD_TermStructure!$C$2:$C$241,MATCH(C403&amp;"|"&amp;L403,PD_TermStructure!$D$2:$D$241,0)),0))</f>
        <v>0.109872</v>
      </c>
      <c r="N403" s="22" t="n">
        <f aca="false">(1+E403/100)^(-(L403/12)/2)</f>
        <v>0.950400321645936</v>
      </c>
      <c r="O403" s="32" t="n">
        <f aca="false">IF(H403&lt;=0,0,M403*Assumptions!$B$3*H403*N403)</f>
        <v>20823.9270321949</v>
      </c>
      <c r="P403" s="25" t="n">
        <v>20823.93</v>
      </c>
      <c r="Q403" s="32" t="n">
        <f aca="false">O403-P403</f>
        <v>-0.00296780507414951</v>
      </c>
    </row>
    <row r="404" customFormat="false" ht="15" hidden="false" customHeight="false" outlineLevel="0" collapsed="false">
      <c r="A404" s="14" t="s">
        <v>573</v>
      </c>
      <c r="B404" s="14" t="n">
        <v>1</v>
      </c>
      <c r="C404" s="14" t="s">
        <v>154</v>
      </c>
      <c r="D404" s="14" t="n">
        <v>16</v>
      </c>
      <c r="E404" s="14" t="n">
        <v>9.61</v>
      </c>
      <c r="F404" s="31" t="n">
        <v>0.0224</v>
      </c>
      <c r="G404" s="31" t="n">
        <v>0.4939</v>
      </c>
      <c r="H404" s="25" t="n">
        <v>159783.95</v>
      </c>
      <c r="I404" s="25" t="n">
        <v>1767.75</v>
      </c>
      <c r="J404" s="32" t="n">
        <f aca="false">F404*G404*H404</f>
        <v>1767.747361072</v>
      </c>
      <c r="K404" s="32" t="n">
        <f aca="false">J404-I404</f>
        <v>-0.00263892799989662</v>
      </c>
      <c r="L404" s="28" t="n">
        <f aca="false">IF(B404=1,12,IF(B404=2,MIN(MAX(D404,1),60),6))</f>
        <v>12</v>
      </c>
      <c r="M404" s="11" t="n">
        <f aca="false">IF(B404=3,1,IFERROR(INDEX(PD_TermStructure!$C$2:$C$241,MATCH(C404&amp;"|"&amp;L404,PD_TermStructure!$D$2:$D$241,0)),0))</f>
        <v>0.109872</v>
      </c>
      <c r="N404" s="22" t="n">
        <f aca="false">(1+E404/100)^(-(L404/12)/2)</f>
        <v>0.955157326174454</v>
      </c>
      <c r="O404" s="32" t="n">
        <f aca="false">IF(H404&lt;=0,0,M404*Assumptions!$B$3*H404*N404)</f>
        <v>6954.23921079284</v>
      </c>
      <c r="P404" s="25" t="n">
        <v>6954.24</v>
      </c>
      <c r="Q404" s="32" t="n">
        <f aca="false">O404-P404</f>
        <v>-0.000789207163506944</v>
      </c>
    </row>
    <row r="405" customFormat="false" ht="15" hidden="false" customHeight="false" outlineLevel="0" collapsed="false">
      <c r="A405" s="14" t="s">
        <v>574</v>
      </c>
      <c r="B405" s="14" t="n">
        <v>3</v>
      </c>
      <c r="C405" s="14" t="s">
        <v>575</v>
      </c>
      <c r="D405" s="14" t="n">
        <v>46</v>
      </c>
      <c r="E405" s="14" t="n">
        <v>12.47</v>
      </c>
      <c r="F405" s="31" t="n">
        <v>0.8727</v>
      </c>
      <c r="G405" s="31" t="n">
        <v>0.462</v>
      </c>
      <c r="H405" s="25" t="n">
        <v>1130434.16</v>
      </c>
      <c r="I405" s="25" t="n">
        <v>455776.81</v>
      </c>
      <c r="J405" s="32" t="n">
        <f aca="false">F405*G405*H405</f>
        <v>455776.809841584</v>
      </c>
      <c r="K405" s="32" t="n">
        <f aca="false">J405-I405</f>
        <v>-0.000158415990881622</v>
      </c>
      <c r="L405" s="28" t="n">
        <f aca="false">IF(B405=1,12,IF(B405=2,MIN(MAX(D405,1),60),6))</f>
        <v>6</v>
      </c>
      <c r="M405" s="11" t="n">
        <f aca="false">IF(B405=3,1,IFERROR(INDEX(PD_TermStructure!$C$2:$C$241,MATCH(C405&amp;"|"&amp;L405,PD_TermStructure!$D$2:$D$241,0)),0))</f>
        <v>1</v>
      </c>
      <c r="N405" s="22" t="n">
        <f aca="false">(1+E405/100)^(-(L405/12)/2)</f>
        <v>0.971048286441739</v>
      </c>
      <c r="O405" s="32" t="n">
        <f aca="false">IF(H405&lt;=0,0,M405*Assumptions!$B$3*H405*N405)</f>
        <v>455240.225814028</v>
      </c>
      <c r="P405" s="25" t="n">
        <v>455240.23</v>
      </c>
      <c r="Q405" s="32" t="n">
        <f aca="false">O405-P405</f>
        <v>-0.00418597180396318</v>
      </c>
    </row>
    <row r="406" customFormat="false" ht="15" hidden="false" customHeight="false" outlineLevel="0" collapsed="false">
      <c r="A406" s="14" t="s">
        <v>576</v>
      </c>
      <c r="B406" s="14" t="n">
        <v>2</v>
      </c>
      <c r="C406" s="14" t="s">
        <v>156</v>
      </c>
      <c r="D406" s="14" t="n">
        <v>66</v>
      </c>
      <c r="E406" s="14" t="n">
        <v>12.23</v>
      </c>
      <c r="F406" s="31" t="n">
        <v>0.0899</v>
      </c>
      <c r="G406" s="31" t="n">
        <v>0.4757</v>
      </c>
      <c r="H406" s="25" t="n">
        <v>1658246.55</v>
      </c>
      <c r="I406" s="25" t="n">
        <v>70915.63</v>
      </c>
      <c r="J406" s="32" t="n">
        <f aca="false">F406*G406*H406</f>
        <v>70915.6267567665</v>
      </c>
      <c r="K406" s="32" t="n">
        <f aca="false">J406-I406</f>
        <v>-0.00324323349923361</v>
      </c>
      <c r="L406" s="28" t="n">
        <f aca="false">IF(B406=1,12,IF(B406=2,MIN(MAX(D406,1),60),6))</f>
        <v>60</v>
      </c>
      <c r="M406" s="11" t="n">
        <f aca="false">IF(B406=3,1,IFERROR(INDEX(PD_TermStructure!$C$2:$C$241,MATCH(C406&amp;"|"&amp;L406,PD_TermStructure!$D$2:$D$241,0)),0))</f>
        <v>1</v>
      </c>
      <c r="N406" s="22" t="n">
        <f aca="false">(1+E406/100)^(-(L406/12)/2)</f>
        <v>0.749423992441819</v>
      </c>
      <c r="O406" s="32" t="n">
        <f aca="false">IF(H406&lt;=0,0,M406*Assumptions!$B$3*H406*N406)</f>
        <v>515384.34938314</v>
      </c>
      <c r="P406" s="25" t="n">
        <v>515384.35</v>
      </c>
      <c r="Q406" s="32" t="n">
        <f aca="false">O406-P406</f>
        <v>-0.000616859528236091</v>
      </c>
    </row>
    <row r="407" customFormat="false" ht="15" hidden="false" customHeight="false" outlineLevel="0" collapsed="false">
      <c r="A407" s="14" t="s">
        <v>577</v>
      </c>
      <c r="B407" s="14" t="n">
        <v>1</v>
      </c>
      <c r="C407" s="14" t="s">
        <v>154</v>
      </c>
      <c r="D407" s="14" t="n">
        <v>59</v>
      </c>
      <c r="E407" s="14" t="n">
        <v>11.34</v>
      </c>
      <c r="F407" s="31" t="n">
        <v>0.0157</v>
      </c>
      <c r="G407" s="31" t="n">
        <v>0.3717</v>
      </c>
      <c r="H407" s="25" t="n">
        <v>1496130.42</v>
      </c>
      <c r="I407" s="25" t="n">
        <v>8730.95</v>
      </c>
      <c r="J407" s="32" t="n">
        <f aca="false">F407*G407*H407</f>
        <v>8730.9533306898</v>
      </c>
      <c r="K407" s="32" t="n">
        <f aca="false">J407-I407</f>
        <v>0.00333068979853124</v>
      </c>
      <c r="L407" s="28" t="n">
        <f aca="false">IF(B407=1,12,IF(B407=2,MIN(MAX(D407,1),60),6))</f>
        <v>12</v>
      </c>
      <c r="M407" s="11" t="n">
        <f aca="false">IF(B407=3,1,IFERROR(INDEX(PD_TermStructure!$C$2:$C$241,MATCH(C407&amp;"|"&amp;L407,PD_TermStructure!$D$2:$D$241,0)),0))</f>
        <v>0.109872</v>
      </c>
      <c r="N407" s="22" t="n">
        <f aca="false">(1+E407/100)^(-(L407/12)/2)</f>
        <v>0.947707661353721</v>
      </c>
      <c r="O407" s="32" t="n">
        <f aca="false">IF(H407&lt;=0,0,M407*Assumptions!$B$3*H407*N407)</f>
        <v>64607.8674089761</v>
      </c>
      <c r="P407" s="25" t="n">
        <v>64607.87</v>
      </c>
      <c r="Q407" s="32" t="n">
        <f aca="false">O407-P407</f>
        <v>-0.00259102394193178</v>
      </c>
    </row>
    <row r="408" customFormat="false" ht="15" hidden="false" customHeight="false" outlineLevel="0" collapsed="false">
      <c r="A408" s="14" t="s">
        <v>578</v>
      </c>
      <c r="B408" s="14" t="n">
        <v>1</v>
      </c>
      <c r="C408" s="14" t="s">
        <v>154</v>
      </c>
      <c r="D408" s="14" t="n">
        <v>39</v>
      </c>
      <c r="E408" s="14" t="n">
        <v>14.16</v>
      </c>
      <c r="F408" s="31" t="n">
        <v>0.0178</v>
      </c>
      <c r="G408" s="31" t="n">
        <v>0.3593</v>
      </c>
      <c r="H408" s="25" t="n">
        <v>212621.46</v>
      </c>
      <c r="I408" s="25" t="n">
        <v>1359.83</v>
      </c>
      <c r="J408" s="32" t="n">
        <f aca="false">F408*G408*H408</f>
        <v>1359.8290522884</v>
      </c>
      <c r="K408" s="32" t="n">
        <f aca="false">J408-I408</f>
        <v>-0.000947711600019829</v>
      </c>
      <c r="L408" s="28" t="n">
        <f aca="false">IF(B408=1,12,IF(B408=2,MIN(MAX(D408,1),60),6))</f>
        <v>12</v>
      </c>
      <c r="M408" s="11" t="n">
        <f aca="false">IF(B408=3,1,IFERROR(INDEX(PD_TermStructure!$C$2:$C$241,MATCH(C408&amp;"|"&amp;L408,PD_TermStructure!$D$2:$D$241,0)),0))</f>
        <v>0.109872</v>
      </c>
      <c r="N408" s="22" t="n">
        <f aca="false">(1+E408/100)^(-(L408/12)/2)</f>
        <v>0.935929249417875</v>
      </c>
      <c r="O408" s="32" t="n">
        <f aca="false">IF(H408&lt;=0,0,M408*Assumptions!$B$3*H408*N408)</f>
        <v>9067.58587123499</v>
      </c>
      <c r="P408" s="25" t="n">
        <v>9067.59</v>
      </c>
      <c r="Q408" s="32" t="n">
        <f aca="false">O408-P408</f>
        <v>-0.00412876500740822</v>
      </c>
    </row>
    <row r="409" customFormat="false" ht="15" hidden="false" customHeight="false" outlineLevel="0" collapsed="false">
      <c r="A409" s="14" t="s">
        <v>579</v>
      </c>
      <c r="B409" s="14" t="n">
        <v>1</v>
      </c>
      <c r="C409" s="14" t="s">
        <v>154</v>
      </c>
      <c r="D409" s="14" t="n">
        <v>32</v>
      </c>
      <c r="E409" s="14" t="n">
        <v>10.82</v>
      </c>
      <c r="F409" s="31" t="n">
        <v>0.0211</v>
      </c>
      <c r="G409" s="31" t="n">
        <v>0.5526</v>
      </c>
      <c r="H409" s="25" t="n">
        <v>608640.16</v>
      </c>
      <c r="I409" s="25" t="n">
        <v>7096.66</v>
      </c>
      <c r="J409" s="32" t="n">
        <f aca="false">F409*G409*H409</f>
        <v>7096.6590559776</v>
      </c>
      <c r="K409" s="32" t="n">
        <f aca="false">J409-I409</f>
        <v>-0.000944022400290123</v>
      </c>
      <c r="L409" s="28" t="n">
        <f aca="false">IF(B409=1,12,IF(B409=2,MIN(MAX(D409,1),60),6))</f>
        <v>12</v>
      </c>
      <c r="M409" s="11" t="n">
        <f aca="false">IF(B409=3,1,IFERROR(INDEX(PD_TermStructure!$C$2:$C$241,MATCH(C409&amp;"|"&amp;L409,PD_TermStructure!$D$2:$D$241,0)),0))</f>
        <v>0.109872</v>
      </c>
      <c r="N409" s="22" t="n">
        <f aca="false">(1+E409/100)^(-(L409/12)/2)</f>
        <v>0.94992852056814</v>
      </c>
      <c r="O409" s="32" t="n">
        <f aca="false">IF(H409&lt;=0,0,M409*Assumptions!$B$3*H409*N409)</f>
        <v>26344.6900477836</v>
      </c>
      <c r="P409" s="25" t="n">
        <v>26344.69</v>
      </c>
      <c r="Q409" s="32" t="n">
        <f aca="false">O409-P409</f>
        <v>4.77835747005884E-005</v>
      </c>
    </row>
    <row r="410" customFormat="false" ht="15" hidden="false" customHeight="false" outlineLevel="0" collapsed="false">
      <c r="A410" s="14" t="s">
        <v>580</v>
      </c>
      <c r="B410" s="14" t="n">
        <v>1</v>
      </c>
      <c r="C410" s="14" t="s">
        <v>154</v>
      </c>
      <c r="D410" s="14" t="n">
        <v>51</v>
      </c>
      <c r="E410" s="14" t="n">
        <v>13.47</v>
      </c>
      <c r="F410" s="31" t="n">
        <v>0.0167</v>
      </c>
      <c r="G410" s="31" t="n">
        <v>0.6097</v>
      </c>
      <c r="H410" s="25" t="n">
        <v>900015.55</v>
      </c>
      <c r="I410" s="25" t="n">
        <v>9163.95</v>
      </c>
      <c r="J410" s="32" t="n">
        <f aca="false">F410*G410*H410</f>
        <v>9163.9493299445</v>
      </c>
      <c r="K410" s="32" t="n">
        <f aca="false">J410-I410</f>
        <v>-0.000670055500449962</v>
      </c>
      <c r="L410" s="28" t="n">
        <f aca="false">IF(B410=1,12,IF(B410=2,MIN(MAX(D410,1),60),6))</f>
        <v>12</v>
      </c>
      <c r="M410" s="11" t="n">
        <f aca="false">IF(B410=3,1,IFERROR(INDEX(PD_TermStructure!$C$2:$C$241,MATCH(C410&amp;"|"&amp;L410,PD_TermStructure!$D$2:$D$241,0)),0))</f>
        <v>0.109872</v>
      </c>
      <c r="N410" s="22" t="n">
        <f aca="false">(1+E410/100)^(-(L410/12)/2)</f>
        <v>0.938770583724149</v>
      </c>
      <c r="O410" s="32" t="n">
        <f aca="false">IF(H410&lt;=0,0,M410*Assumptions!$B$3*H410*N410)</f>
        <v>38499.1416384488</v>
      </c>
      <c r="P410" s="25" t="n">
        <v>38499.14</v>
      </c>
      <c r="Q410" s="32" t="n">
        <f aca="false">O410-P410</f>
        <v>0.00163844876806252</v>
      </c>
    </row>
    <row r="411" customFormat="false" ht="15" hidden="false" customHeight="false" outlineLevel="0" collapsed="false">
      <c r="A411" s="14" t="s">
        <v>581</v>
      </c>
      <c r="B411" s="14" t="n">
        <v>1</v>
      </c>
      <c r="C411" s="14" t="s">
        <v>154</v>
      </c>
      <c r="D411" s="14" t="n">
        <v>24</v>
      </c>
      <c r="E411" s="14" t="n">
        <v>13.06</v>
      </c>
      <c r="F411" s="31" t="n">
        <v>0.0155</v>
      </c>
      <c r="G411" s="31" t="n">
        <v>0.3986</v>
      </c>
      <c r="H411" s="25" t="n">
        <v>394262.25</v>
      </c>
      <c r="I411" s="25" t="n">
        <v>2435.87</v>
      </c>
      <c r="J411" s="32" t="n">
        <f aca="false">F411*G411*H411</f>
        <v>2435.870459175</v>
      </c>
      <c r="K411" s="32" t="n">
        <f aca="false">J411-I411</f>
        <v>0.00045917500028736</v>
      </c>
      <c r="L411" s="28" t="n">
        <f aca="false">IF(B411=1,12,IF(B411=2,MIN(MAX(D411,1),60),6))</f>
        <v>12</v>
      </c>
      <c r="M411" s="11" t="n">
        <f aca="false">IF(B411=3,1,IFERROR(INDEX(PD_TermStructure!$C$2:$C$241,MATCH(C411&amp;"|"&amp;L411,PD_TermStructure!$D$2:$D$241,0)),0))</f>
        <v>0.109872</v>
      </c>
      <c r="N411" s="22" t="n">
        <f aca="false">(1+E411/100)^(-(L411/12)/2)</f>
        <v>0.940471218894027</v>
      </c>
      <c r="O411" s="32" t="n">
        <f aca="false">IF(H411&lt;=0,0,M411*Assumptions!$B$3*H411*N411)</f>
        <v>16895.5473834548</v>
      </c>
      <c r="P411" s="25" t="n">
        <v>16895.55</v>
      </c>
      <c r="Q411" s="32" t="n">
        <f aca="false">O411-P411</f>
        <v>-0.00261654520727461</v>
      </c>
    </row>
    <row r="412" customFormat="false" ht="15" hidden="false" customHeight="false" outlineLevel="0" collapsed="false">
      <c r="A412" s="14" t="s">
        <v>582</v>
      </c>
      <c r="B412" s="14" t="n">
        <v>1</v>
      </c>
      <c r="C412" s="14" t="s">
        <v>154</v>
      </c>
      <c r="D412" s="14" t="n">
        <v>59</v>
      </c>
      <c r="E412" s="14" t="n">
        <v>8.43</v>
      </c>
      <c r="F412" s="31" t="n">
        <v>0.0197</v>
      </c>
      <c r="G412" s="31" t="n">
        <v>0.4142</v>
      </c>
      <c r="H412" s="25" t="n">
        <v>497597.15</v>
      </c>
      <c r="I412" s="25" t="n">
        <v>4060.26</v>
      </c>
      <c r="J412" s="32" t="n">
        <f aca="false">F412*G412*H412</f>
        <v>4060.263368741</v>
      </c>
      <c r="K412" s="32" t="n">
        <f aca="false">J412-I412</f>
        <v>0.00336874100003115</v>
      </c>
      <c r="L412" s="28" t="n">
        <f aca="false">IF(B412=1,12,IF(B412=2,MIN(MAX(D412,1),60),6))</f>
        <v>12</v>
      </c>
      <c r="M412" s="11" t="n">
        <f aca="false">IF(B412=3,1,IFERROR(INDEX(PD_TermStructure!$C$2:$C$241,MATCH(C412&amp;"|"&amp;L412,PD_TermStructure!$D$2:$D$241,0)),0))</f>
        <v>0.109872</v>
      </c>
      <c r="N412" s="22" t="n">
        <f aca="false">(1+E412/100)^(-(L412/12)/2)</f>
        <v>0.960340558733464</v>
      </c>
      <c r="O412" s="32" t="n">
        <f aca="false">IF(H412&lt;=0,0,M412*Assumptions!$B$3*H412*N412)</f>
        <v>21774.3257872933</v>
      </c>
      <c r="P412" s="25" t="n">
        <v>21774.33</v>
      </c>
      <c r="Q412" s="32" t="n">
        <f aca="false">O412-P412</f>
        <v>-0.00421270670267404</v>
      </c>
    </row>
    <row r="413" customFormat="false" ht="15" hidden="false" customHeight="false" outlineLevel="0" collapsed="false">
      <c r="A413" s="14" t="s">
        <v>583</v>
      </c>
      <c r="B413" s="14" t="n">
        <v>1</v>
      </c>
      <c r="C413" s="14" t="s">
        <v>154</v>
      </c>
      <c r="D413" s="14" t="n">
        <v>36</v>
      </c>
      <c r="E413" s="14" t="n">
        <v>13.38</v>
      </c>
      <c r="F413" s="31" t="n">
        <v>0.0198</v>
      </c>
      <c r="G413" s="31" t="n">
        <v>0.6348</v>
      </c>
      <c r="H413" s="25" t="n">
        <v>279137.19</v>
      </c>
      <c r="I413" s="25" t="n">
        <v>3508.49</v>
      </c>
      <c r="J413" s="32" t="n">
        <f aca="false">F413*G413*H413</f>
        <v>3508.4865065976</v>
      </c>
      <c r="K413" s="32" t="n">
        <f aca="false">J413-I413</f>
        <v>-0.00349340239927187</v>
      </c>
      <c r="L413" s="28" t="n">
        <f aca="false">IF(B413=1,12,IF(B413=2,MIN(MAX(D413,1),60),6))</f>
        <v>12</v>
      </c>
      <c r="M413" s="11" t="n">
        <f aca="false">IF(B413=3,1,IFERROR(INDEX(PD_TermStructure!$C$2:$C$241,MATCH(C413&amp;"|"&amp;L413,PD_TermStructure!$D$2:$D$241,0)),0))</f>
        <v>0.109872</v>
      </c>
      <c r="N413" s="22" t="n">
        <f aca="false">(1+E413/100)^(-(L413/12)/2)</f>
        <v>0.939143103535708</v>
      </c>
      <c r="O413" s="32" t="n">
        <f aca="false">IF(H413&lt;=0,0,M413*Assumptions!$B$3*H413*N413)</f>
        <v>11945.1343050713</v>
      </c>
      <c r="P413" s="25" t="n">
        <v>11945.13</v>
      </c>
      <c r="Q413" s="32" t="n">
        <f aca="false">O413-P413</f>
        <v>0.00430507133569336</v>
      </c>
    </row>
    <row r="414" customFormat="false" ht="15" hidden="false" customHeight="false" outlineLevel="0" collapsed="false">
      <c r="A414" s="14" t="s">
        <v>584</v>
      </c>
      <c r="B414" s="14" t="n">
        <v>2</v>
      </c>
      <c r="C414" s="14" t="s">
        <v>157</v>
      </c>
      <c r="D414" s="14" t="n">
        <v>22</v>
      </c>
      <c r="E414" s="14" t="n">
        <v>12.91</v>
      </c>
      <c r="F414" s="31" t="n">
        <v>0.1224</v>
      </c>
      <c r="G414" s="31" t="n">
        <v>0.5349</v>
      </c>
      <c r="H414" s="25" t="n">
        <v>233936.23</v>
      </c>
      <c r="I414" s="25" t="n">
        <v>15316.22</v>
      </c>
      <c r="J414" s="32" t="n">
        <f aca="false">F414*G414*H414</f>
        <v>15316.2167058648</v>
      </c>
      <c r="K414" s="32" t="n">
        <f aca="false">J414-I414</f>
        <v>-0.00329413519830268</v>
      </c>
      <c r="L414" s="28" t="n">
        <f aca="false">IF(B414=1,12,IF(B414=2,MIN(MAX(D414,1),60),6))</f>
        <v>22</v>
      </c>
      <c r="M414" s="11" t="n">
        <f aca="false">IF(B414=3,1,IFERROR(INDEX(PD_TermStructure!$C$2:$C$241,MATCH(C414&amp;"|"&amp;L414,PD_TermStructure!$D$2:$D$241,0)),0))</f>
        <v>0.99996</v>
      </c>
      <c r="N414" s="22" t="n">
        <f aca="false">(1+E414/100)^(-(L414/12)/2)</f>
        <v>0.894668115092641</v>
      </c>
      <c r="O414" s="32" t="n">
        <f aca="false">IF(H414&lt;=0,0,M414*Assumptions!$B$3*H414*N414)</f>
        <v>86795.3793490814</v>
      </c>
      <c r="P414" s="25" t="n">
        <v>86795.38</v>
      </c>
      <c r="Q414" s="32" t="n">
        <f aca="false">O414-P414</f>
        <v>-0.000650918620522134</v>
      </c>
    </row>
    <row r="415" customFormat="false" ht="15" hidden="false" customHeight="false" outlineLevel="0" collapsed="false">
      <c r="A415" s="14" t="s">
        <v>585</v>
      </c>
      <c r="B415" s="14" t="n">
        <v>1</v>
      </c>
      <c r="C415" s="14" t="s">
        <v>154</v>
      </c>
      <c r="D415" s="14" t="n">
        <v>48</v>
      </c>
      <c r="E415" s="14" t="n">
        <v>9.45</v>
      </c>
      <c r="F415" s="31" t="n">
        <v>0.0217</v>
      </c>
      <c r="G415" s="31" t="n">
        <v>0.4117</v>
      </c>
      <c r="H415" s="25" t="n">
        <v>648320.19</v>
      </c>
      <c r="I415" s="25" t="n">
        <v>5792.02</v>
      </c>
      <c r="J415" s="32" t="n">
        <f aca="false">F415*G415*H415</f>
        <v>5792.0212622391</v>
      </c>
      <c r="K415" s="32" t="n">
        <f aca="false">J415-I415</f>
        <v>0.00126223909865075</v>
      </c>
      <c r="L415" s="28" t="n">
        <f aca="false">IF(B415=1,12,IF(B415=2,MIN(MAX(D415,1),60),6))</f>
        <v>12</v>
      </c>
      <c r="M415" s="11" t="n">
        <f aca="false">IF(B415=3,1,IFERROR(INDEX(PD_TermStructure!$C$2:$C$241,MATCH(C415&amp;"|"&amp;L415,PD_TermStructure!$D$2:$D$241,0)),0))</f>
        <v>0.109872</v>
      </c>
      <c r="N415" s="22" t="n">
        <f aca="false">(1+E415/100)^(-(L415/12)/2)</f>
        <v>0.955855221838795</v>
      </c>
      <c r="O415" s="32" t="n">
        <f aca="false">IF(H415&lt;=0,0,M415*Assumptions!$B$3*H415*N415)</f>
        <v>28237.3037019239</v>
      </c>
      <c r="P415" s="25" t="n">
        <v>28237.3</v>
      </c>
      <c r="Q415" s="32" t="n">
        <f aca="false">O415-P415</f>
        <v>0.00370192388800206</v>
      </c>
    </row>
    <row r="416" customFormat="false" ht="15" hidden="false" customHeight="false" outlineLevel="0" collapsed="false">
      <c r="A416" s="14" t="s">
        <v>586</v>
      </c>
      <c r="B416" s="14" t="n">
        <v>1</v>
      </c>
      <c r="C416" s="14" t="s">
        <v>154</v>
      </c>
      <c r="D416" s="14" t="n">
        <v>47</v>
      </c>
      <c r="E416" s="14" t="n">
        <v>8.37</v>
      </c>
      <c r="F416" s="31" t="n">
        <v>0.0178</v>
      </c>
      <c r="G416" s="31" t="n">
        <v>0.3919</v>
      </c>
      <c r="H416" s="25" t="n">
        <v>731612.18</v>
      </c>
      <c r="I416" s="25" t="n">
        <v>5103.59</v>
      </c>
      <c r="J416" s="32" t="n">
        <f aca="false">F416*G416*H416</f>
        <v>5103.5948774876</v>
      </c>
      <c r="K416" s="32" t="n">
        <f aca="false">J416-I416</f>
        <v>0.0048774876004245</v>
      </c>
      <c r="L416" s="28" t="n">
        <f aca="false">IF(B416=1,12,IF(B416=2,MIN(MAX(D416,1),60),6))</f>
        <v>12</v>
      </c>
      <c r="M416" s="11" t="n">
        <f aca="false">IF(B416=3,1,IFERROR(INDEX(PD_TermStructure!$C$2:$C$241,MATCH(C416&amp;"|"&amp;L416,PD_TermStructure!$D$2:$D$241,0)),0))</f>
        <v>0.109872</v>
      </c>
      <c r="N416" s="22" t="n">
        <f aca="false">(1+E416/100)^(-(L416/12)/2)</f>
        <v>0.96060637242829</v>
      </c>
      <c r="O416" s="32" t="n">
        <f aca="false">IF(H416&lt;=0,0,M416*Assumptions!$B$3*H416*N416)</f>
        <v>32023.4377131582</v>
      </c>
      <c r="P416" s="25" t="n">
        <v>32023.44</v>
      </c>
      <c r="Q416" s="32" t="n">
        <f aca="false">O416-P416</f>
        <v>-0.0022868418127473</v>
      </c>
    </row>
    <row r="417" customFormat="false" ht="15" hidden="false" customHeight="false" outlineLevel="0" collapsed="false">
      <c r="A417" s="14" t="s">
        <v>587</v>
      </c>
      <c r="B417" s="14" t="n">
        <v>2</v>
      </c>
      <c r="C417" s="14" t="s">
        <v>157</v>
      </c>
      <c r="D417" s="14" t="n">
        <v>27</v>
      </c>
      <c r="E417" s="14" t="n">
        <v>9.86</v>
      </c>
      <c r="F417" s="31" t="n">
        <v>0.1527</v>
      </c>
      <c r="G417" s="31" t="n">
        <v>0.3774</v>
      </c>
      <c r="H417" s="25" t="n">
        <v>640368.09</v>
      </c>
      <c r="I417" s="25" t="n">
        <v>36903.76</v>
      </c>
      <c r="J417" s="32" t="n">
        <f aca="false">F417*G417*H417</f>
        <v>36903.7598512482</v>
      </c>
      <c r="K417" s="32" t="n">
        <f aca="false">J417-I417</f>
        <v>-0.000148751802043989</v>
      </c>
      <c r="L417" s="28" t="n">
        <f aca="false">IF(B417=1,12,IF(B417=2,MIN(MAX(D417,1),60),6))</f>
        <v>27</v>
      </c>
      <c r="M417" s="11" t="n">
        <f aca="false">IF(B417=3,1,IFERROR(INDEX(PD_TermStructure!$C$2:$C$241,MATCH(C417&amp;"|"&amp;L417,PD_TermStructure!$D$2:$D$241,0)),0))</f>
        <v>0.999996</v>
      </c>
      <c r="N417" s="22" t="n">
        <f aca="false">(1+E417/100)^(-(L417/12)/2)</f>
        <v>0.899612447608241</v>
      </c>
      <c r="O417" s="32" t="n">
        <f aca="false">IF(H417&lt;=0,0,M417*Assumptions!$B$3*H417*N417)</f>
        <v>238911.982721837</v>
      </c>
      <c r="P417" s="25" t="n">
        <v>238911.98</v>
      </c>
      <c r="Q417" s="32" t="n">
        <f aca="false">O417-P417</f>
        <v>0.00272183705237694</v>
      </c>
    </row>
    <row r="418" customFormat="false" ht="15" hidden="false" customHeight="false" outlineLevel="0" collapsed="false">
      <c r="A418" s="14" t="s">
        <v>588</v>
      </c>
      <c r="B418" s="14" t="n">
        <v>1</v>
      </c>
      <c r="C418" s="14" t="s">
        <v>154</v>
      </c>
      <c r="D418" s="14" t="n">
        <v>5</v>
      </c>
      <c r="E418" s="14" t="n">
        <v>9.17</v>
      </c>
      <c r="F418" s="31" t="n">
        <v>0.0165</v>
      </c>
      <c r="G418" s="31" t="n">
        <v>0.552</v>
      </c>
      <c r="H418" s="25" t="n">
        <v>176653.41</v>
      </c>
      <c r="I418" s="25" t="n">
        <v>1608.96</v>
      </c>
      <c r="J418" s="32" t="n">
        <f aca="false">F418*G418*H418</f>
        <v>1608.95925828</v>
      </c>
      <c r="K418" s="32" t="n">
        <f aca="false">J418-I418</f>
        <v>-0.0007417199997235</v>
      </c>
      <c r="L418" s="28" t="n">
        <f aca="false">IF(B418=1,12,IF(B418=2,MIN(MAX(D418,1),60),6))</f>
        <v>12</v>
      </c>
      <c r="M418" s="11" t="n">
        <f aca="false">IF(B418=3,1,IFERROR(INDEX(PD_TermStructure!$C$2:$C$241,MATCH(C418&amp;"|"&amp;L418,PD_TermStructure!$D$2:$D$241,0)),0))</f>
        <v>0.109872</v>
      </c>
      <c r="N418" s="22" t="n">
        <f aca="false">(1+E418/100)^(-(L418/12)/2)</f>
        <v>0.957080229033691</v>
      </c>
      <c r="O418" s="32" t="n">
        <f aca="false">IF(H418&lt;=0,0,M418*Assumptions!$B$3*H418*N418)</f>
        <v>7703.92296095079</v>
      </c>
      <c r="P418" s="25" t="n">
        <v>7703.92</v>
      </c>
      <c r="Q418" s="32" t="n">
        <f aca="false">O418-P418</f>
        <v>0.00296095078465441</v>
      </c>
    </row>
    <row r="419" customFormat="false" ht="15" hidden="false" customHeight="false" outlineLevel="0" collapsed="false">
      <c r="A419" s="14" t="s">
        <v>589</v>
      </c>
      <c r="B419" s="14" t="n">
        <v>1</v>
      </c>
      <c r="C419" s="14" t="s">
        <v>154</v>
      </c>
      <c r="D419" s="14" t="n">
        <v>43</v>
      </c>
      <c r="E419" s="14" t="n">
        <v>9.03</v>
      </c>
      <c r="F419" s="31" t="n">
        <v>0.0199</v>
      </c>
      <c r="G419" s="31" t="n">
        <v>0.5673</v>
      </c>
      <c r="H419" s="25" t="n">
        <v>672253.33</v>
      </c>
      <c r="I419" s="25" t="n">
        <v>7589.25</v>
      </c>
      <c r="J419" s="32" t="n">
        <f aca="false">F419*G419*H419</f>
        <v>7589.2493507691</v>
      </c>
      <c r="K419" s="32" t="n">
        <f aca="false">J419-I419</f>
        <v>-0.000649230900307884</v>
      </c>
      <c r="L419" s="28" t="n">
        <f aca="false">IF(B419=1,12,IF(B419=2,MIN(MAX(D419,1),60),6))</f>
        <v>12</v>
      </c>
      <c r="M419" s="11" t="n">
        <f aca="false">IF(B419=3,1,IFERROR(INDEX(PD_TermStructure!$C$2:$C$241,MATCH(C419&amp;"|"&amp;L419,PD_TermStructure!$D$2:$D$241,0)),0))</f>
        <v>0.109872</v>
      </c>
      <c r="N419" s="22" t="n">
        <f aca="false">(1+E419/100)^(-(L419/12)/2)</f>
        <v>0.957694501466914</v>
      </c>
      <c r="O419" s="32" t="n">
        <f aca="false">IF(H419&lt;=0,0,M419*Assumptions!$B$3*H419*N419)</f>
        <v>29336.0419039081</v>
      </c>
      <c r="P419" s="25" t="n">
        <v>29336.04</v>
      </c>
      <c r="Q419" s="32" t="n">
        <f aca="false">O419-P419</f>
        <v>0.0019039080652874</v>
      </c>
    </row>
    <row r="420" customFormat="false" ht="15" hidden="false" customHeight="false" outlineLevel="0" collapsed="false">
      <c r="A420" s="14" t="s">
        <v>590</v>
      </c>
      <c r="B420" s="14" t="n">
        <v>1</v>
      </c>
      <c r="C420" s="14" t="s">
        <v>154</v>
      </c>
      <c r="D420" s="14" t="n">
        <v>2</v>
      </c>
      <c r="E420" s="14" t="n">
        <v>14.35</v>
      </c>
      <c r="F420" s="31" t="n">
        <v>0.0189</v>
      </c>
      <c r="G420" s="31" t="n">
        <v>0.4</v>
      </c>
      <c r="H420" s="25" t="n">
        <v>45679.92</v>
      </c>
      <c r="I420" s="25" t="n">
        <v>345.34</v>
      </c>
      <c r="J420" s="32" t="n">
        <f aca="false">F420*G420*H420</f>
        <v>345.3401952</v>
      </c>
      <c r="K420" s="32" t="n">
        <f aca="false">J420-I420</f>
        <v>0.000195200000064233</v>
      </c>
      <c r="L420" s="28" t="n">
        <f aca="false">IF(B420=1,12,IF(B420=2,MIN(MAX(D420,1),60),6))</f>
        <v>12</v>
      </c>
      <c r="M420" s="11" t="n">
        <f aca="false">IF(B420=3,1,IFERROR(INDEX(PD_TermStructure!$C$2:$C$241,MATCH(C420&amp;"|"&amp;L420,PD_TermStructure!$D$2:$D$241,0)),0))</f>
        <v>0.109872</v>
      </c>
      <c r="N420" s="22" t="n">
        <f aca="false">(1+E420/100)^(-(L420/12)/2)</f>
        <v>0.935151372345582</v>
      </c>
      <c r="O420" s="32" t="n">
        <f aca="false">IF(H420&lt;=0,0,M420*Assumptions!$B$3*H420*N420)</f>
        <v>1946.4749158469</v>
      </c>
      <c r="P420" s="25" t="n">
        <v>1946.47</v>
      </c>
      <c r="Q420" s="32" t="n">
        <f aca="false">O420-P420</f>
        <v>0.00491584690439595</v>
      </c>
    </row>
    <row r="421" customFormat="false" ht="15" hidden="false" customHeight="false" outlineLevel="0" collapsed="false">
      <c r="A421" s="14" t="s">
        <v>591</v>
      </c>
      <c r="B421" s="14" t="n">
        <v>2</v>
      </c>
      <c r="C421" s="14" t="s">
        <v>157</v>
      </c>
      <c r="D421" s="14" t="n">
        <v>22</v>
      </c>
      <c r="E421" s="14" t="n">
        <v>9.38</v>
      </c>
      <c r="F421" s="31" t="n">
        <v>0.096</v>
      </c>
      <c r="G421" s="31" t="n">
        <v>0.4907</v>
      </c>
      <c r="H421" s="25" t="n">
        <v>586730.81</v>
      </c>
      <c r="I421" s="25" t="n">
        <v>27639.25</v>
      </c>
      <c r="J421" s="32" t="n">
        <f aca="false">F421*G421*H421</f>
        <v>27639.245612832</v>
      </c>
      <c r="K421" s="32" t="n">
        <f aca="false">J421-I421</f>
        <v>-0.00438716799544636</v>
      </c>
      <c r="L421" s="28" t="n">
        <f aca="false">IF(B421=1,12,IF(B421=2,MIN(MAX(D421,1),60),6))</f>
        <v>22</v>
      </c>
      <c r="M421" s="11" t="n">
        <f aca="false">IF(B421=3,1,IFERROR(INDEX(PD_TermStructure!$C$2:$C$241,MATCH(C421&amp;"|"&amp;L421,PD_TermStructure!$D$2:$D$241,0)),0))</f>
        <v>0.99996</v>
      </c>
      <c r="N421" s="22" t="n">
        <f aca="false">(1+E421/100)^(-(L421/12)/2)</f>
        <v>0.921100265631422</v>
      </c>
      <c r="O421" s="32" t="n">
        <f aca="false">IF(H421&lt;=0,0,M421*Assumptions!$B$3*H421*N421)</f>
        <v>224121.211150659</v>
      </c>
      <c r="P421" s="25" t="n">
        <v>224121.21</v>
      </c>
      <c r="Q421" s="32" t="n">
        <f aca="false">O421-P421</f>
        <v>0.00115065870340914</v>
      </c>
    </row>
    <row r="422" customFormat="false" ht="15" hidden="false" customHeight="false" outlineLevel="0" collapsed="false">
      <c r="A422" s="14" t="s">
        <v>592</v>
      </c>
      <c r="B422" s="14" t="n">
        <v>3</v>
      </c>
      <c r="C422" s="14" t="s">
        <v>182</v>
      </c>
      <c r="D422" s="14" t="n">
        <v>33</v>
      </c>
      <c r="E422" s="14" t="n">
        <v>7.5</v>
      </c>
      <c r="F422" s="31" t="n">
        <v>0.7005</v>
      </c>
      <c r="G422" s="31" t="n">
        <v>0.5299</v>
      </c>
      <c r="H422" s="25" t="n">
        <v>459826.15</v>
      </c>
      <c r="I422" s="25" t="n">
        <v>170685.14</v>
      </c>
      <c r="J422" s="32" t="n">
        <f aca="false">F422*G422*H422</f>
        <v>170685.144757943</v>
      </c>
      <c r="K422" s="32" t="n">
        <f aca="false">J422-I422</f>
        <v>0.00475794251542538</v>
      </c>
      <c r="L422" s="28" t="n">
        <f aca="false">IF(B422=1,12,IF(B422=2,MIN(MAX(D422,1),60),6))</f>
        <v>6</v>
      </c>
      <c r="M422" s="11" t="n">
        <f aca="false">IF(B422=3,1,IFERROR(INDEX(PD_TermStructure!$C$2:$C$241,MATCH(C422&amp;"|"&amp;L422,PD_TermStructure!$D$2:$D$241,0)),0))</f>
        <v>1</v>
      </c>
      <c r="N422" s="22" t="n">
        <f aca="false">(1+E422/100)^(-(L422/12)/2)</f>
        <v>0.98208230018712</v>
      </c>
      <c r="O422" s="32" t="n">
        <f aca="false">IF(H422&lt;=0,0,M422*Assumptions!$B$3*H422*N422)</f>
        <v>187282.018174985</v>
      </c>
      <c r="P422" s="25" t="n">
        <v>187282.02</v>
      </c>
      <c r="Q422" s="32" t="n">
        <f aca="false">O422-P422</f>
        <v>-0.00182501485687681</v>
      </c>
    </row>
    <row r="423" customFormat="false" ht="15" hidden="false" customHeight="false" outlineLevel="0" collapsed="false">
      <c r="A423" s="14" t="s">
        <v>593</v>
      </c>
      <c r="B423" s="14" t="n">
        <v>1</v>
      </c>
      <c r="C423" s="14" t="s">
        <v>154</v>
      </c>
      <c r="D423" s="14" t="n">
        <v>24</v>
      </c>
      <c r="E423" s="14" t="n">
        <v>10.65</v>
      </c>
      <c r="F423" s="31" t="n">
        <v>0.0254</v>
      </c>
      <c r="G423" s="31" t="n">
        <v>0.6191</v>
      </c>
      <c r="H423" s="25" t="n">
        <v>515225.6</v>
      </c>
      <c r="I423" s="25" t="n">
        <v>8101.99</v>
      </c>
      <c r="J423" s="32" t="n">
        <f aca="false">F423*G423*H423</f>
        <v>8101.994691584</v>
      </c>
      <c r="K423" s="32" t="n">
        <f aca="false">J423-I423</f>
        <v>0.00469158399937442</v>
      </c>
      <c r="L423" s="28" t="n">
        <f aca="false">IF(B423=1,12,IF(B423=2,MIN(MAX(D423,1),60),6))</f>
        <v>12</v>
      </c>
      <c r="M423" s="11" t="n">
        <f aca="false">IF(B423=3,1,IFERROR(INDEX(PD_TermStructure!$C$2:$C$241,MATCH(C423&amp;"|"&amp;L423,PD_TermStructure!$D$2:$D$241,0)),0))</f>
        <v>0.109872</v>
      </c>
      <c r="N423" s="22" t="n">
        <f aca="false">(1+E423/100)^(-(L423/12)/2)</f>
        <v>0.950657964172237</v>
      </c>
      <c r="O423" s="32" t="n">
        <f aca="false">IF(H423&lt;=0,0,M423*Assumptions!$B$3*H423*N423)</f>
        <v>22318.4117569096</v>
      </c>
      <c r="P423" s="25" t="n">
        <v>22318.41</v>
      </c>
      <c r="Q423" s="32" t="n">
        <f aca="false">O423-P423</f>
        <v>0.00175690964169917</v>
      </c>
    </row>
    <row r="424" customFormat="false" ht="15" hidden="false" customHeight="false" outlineLevel="0" collapsed="false">
      <c r="A424" s="14" t="s">
        <v>594</v>
      </c>
      <c r="B424" s="14" t="n">
        <v>1</v>
      </c>
      <c r="C424" s="14" t="s">
        <v>154</v>
      </c>
      <c r="D424" s="14" t="n">
        <v>10</v>
      </c>
      <c r="E424" s="14" t="n">
        <v>14.44</v>
      </c>
      <c r="F424" s="31" t="n">
        <v>0.0246</v>
      </c>
      <c r="G424" s="31" t="n">
        <v>0.5775</v>
      </c>
      <c r="H424" s="25" t="n">
        <v>87619.95</v>
      </c>
      <c r="I424" s="25" t="n">
        <v>1244.77</v>
      </c>
      <c r="J424" s="32" t="n">
        <f aca="false">F424*G424*H424</f>
        <v>1244.772819675</v>
      </c>
      <c r="K424" s="32" t="n">
        <f aca="false">J424-I424</f>
        <v>0.00281967499995517</v>
      </c>
      <c r="L424" s="28" t="n">
        <f aca="false">IF(B424=1,12,IF(B424=2,MIN(MAX(D424,1),60),6))</f>
        <v>12</v>
      </c>
      <c r="M424" s="11" t="n">
        <f aca="false">IF(B424=3,1,IFERROR(INDEX(PD_TermStructure!$C$2:$C$241,MATCH(C424&amp;"|"&amp;L424,PD_TermStructure!$D$2:$D$241,0)),0))</f>
        <v>0.109872</v>
      </c>
      <c r="N424" s="22" t="n">
        <f aca="false">(1+E424/100)^(-(L424/12)/2)</f>
        <v>0.934783580588349</v>
      </c>
      <c r="O424" s="32" t="n">
        <f aca="false">IF(H424&lt;=0,0,M424*Assumptions!$B$3*H424*N424)</f>
        <v>3732.12032927847</v>
      </c>
      <c r="P424" s="25" t="n">
        <v>3732.12</v>
      </c>
      <c r="Q424" s="32" t="n">
        <f aca="false">O424-P424</f>
        <v>0.000329278474055172</v>
      </c>
    </row>
    <row r="425" customFormat="false" ht="15" hidden="false" customHeight="false" outlineLevel="0" collapsed="false">
      <c r="A425" s="14" t="s">
        <v>595</v>
      </c>
      <c r="B425" s="14" t="n">
        <v>1</v>
      </c>
      <c r="C425" s="14" t="s">
        <v>154</v>
      </c>
      <c r="D425" s="14" t="n">
        <v>13</v>
      </c>
      <c r="E425" s="14" t="n">
        <v>8.5</v>
      </c>
      <c r="F425" s="31" t="n">
        <v>0.014</v>
      </c>
      <c r="G425" s="31" t="n">
        <v>0.3699</v>
      </c>
      <c r="H425" s="25" t="n">
        <v>668562.5</v>
      </c>
      <c r="I425" s="25" t="n">
        <v>3462.22</v>
      </c>
      <c r="J425" s="32" t="n">
        <f aca="false">F425*G425*H425</f>
        <v>3462.2177625</v>
      </c>
      <c r="K425" s="32" t="n">
        <f aca="false">J425-I425</f>
        <v>-0.00223749999986467</v>
      </c>
      <c r="L425" s="28" t="n">
        <f aca="false">IF(B425=1,12,IF(B425=2,MIN(MAX(D425,1),60),6))</f>
        <v>12</v>
      </c>
      <c r="M425" s="11" t="n">
        <f aca="false">IF(B425=3,1,IFERROR(INDEX(PD_TermStructure!$C$2:$C$241,MATCH(C425&amp;"|"&amp;L425,PD_TermStructure!$D$2:$D$241,0)),0))</f>
        <v>0.109872</v>
      </c>
      <c r="N425" s="22" t="n">
        <f aca="false">(1+E425/100)^(-(L425/12)/2)</f>
        <v>0.960030721474639</v>
      </c>
      <c r="O425" s="32" t="n">
        <f aca="false">IF(H425&lt;=0,0,M425*Assumptions!$B$3*H425*N425)</f>
        <v>29246.150142769</v>
      </c>
      <c r="P425" s="25" t="n">
        <v>29246.15</v>
      </c>
      <c r="Q425" s="32" t="n">
        <f aca="false">O425-P425</f>
        <v>0.000142768956720829</v>
      </c>
    </row>
    <row r="426" customFormat="false" ht="15" hidden="false" customHeight="false" outlineLevel="0" collapsed="false">
      <c r="A426" s="14" t="s">
        <v>596</v>
      </c>
      <c r="B426" s="14" t="n">
        <v>1</v>
      </c>
      <c r="C426" s="14" t="s">
        <v>155</v>
      </c>
      <c r="D426" s="14" t="n">
        <v>60</v>
      </c>
      <c r="E426" s="14" t="n">
        <v>14.19</v>
      </c>
      <c r="F426" s="31" t="n">
        <v>0.02</v>
      </c>
      <c r="G426" s="31" t="n">
        <v>0.5673</v>
      </c>
      <c r="H426" s="25" t="n">
        <v>1854760.73</v>
      </c>
      <c r="I426" s="25" t="n">
        <v>21044.12</v>
      </c>
      <c r="J426" s="32" t="n">
        <f aca="false">F426*G426*H426</f>
        <v>21044.11524258</v>
      </c>
      <c r="K426" s="32" t="n">
        <f aca="false">J426-I426</f>
        <v>-0.00475741999980528</v>
      </c>
      <c r="L426" s="28" t="n">
        <f aca="false">IF(B426=1,12,IF(B426=2,MIN(MAX(D426,1),60),6))</f>
        <v>12</v>
      </c>
      <c r="M426" s="11" t="n">
        <f aca="false">IF(B426=3,1,IFERROR(INDEX(PD_TermStructure!$C$2:$C$241,MATCH(C426&amp;"|"&amp;L426,PD_TermStructure!$D$2:$D$241,0)),0))</f>
        <v>0.164153</v>
      </c>
      <c r="N426" s="22" t="n">
        <f aca="false">(1+E426/100)^(-(L426/12)/2)</f>
        <v>0.935806297662555</v>
      </c>
      <c r="O426" s="32" t="n">
        <f aca="false">IF(H426&lt;=0,0,M426*Assumptions!$B$3*H426*N426)</f>
        <v>118161.830711634</v>
      </c>
      <c r="P426" s="25" t="n">
        <v>118161.83</v>
      </c>
      <c r="Q426" s="32" t="n">
        <f aca="false">O426-P426</f>
        <v>0.000711633925675415</v>
      </c>
    </row>
    <row r="427" customFormat="false" ht="15" hidden="false" customHeight="false" outlineLevel="0" collapsed="false">
      <c r="A427" s="14" t="s">
        <v>597</v>
      </c>
      <c r="B427" s="14" t="n">
        <v>1</v>
      </c>
      <c r="C427" s="14" t="s">
        <v>154</v>
      </c>
      <c r="D427" s="14" t="n">
        <v>41</v>
      </c>
      <c r="E427" s="14" t="n">
        <v>12.7</v>
      </c>
      <c r="F427" s="31" t="n">
        <v>0.0168</v>
      </c>
      <c r="G427" s="31" t="n">
        <v>0.6137</v>
      </c>
      <c r="H427" s="25" t="n">
        <v>411686.45</v>
      </c>
      <c r="I427" s="25" t="n">
        <v>4244.55</v>
      </c>
      <c r="J427" s="32" t="n">
        <f aca="false">F427*G427*H427</f>
        <v>4244.553169332</v>
      </c>
      <c r="K427" s="32" t="n">
        <f aca="false">J427-I427</f>
        <v>0.00316933199974301</v>
      </c>
      <c r="L427" s="28" t="n">
        <f aca="false">IF(B427=1,12,IF(B427=2,MIN(MAX(D427,1),60),6))</f>
        <v>12</v>
      </c>
      <c r="M427" s="11" t="n">
        <f aca="false">IF(B427=3,1,IFERROR(INDEX(PD_TermStructure!$C$2:$C$241,MATCH(C427&amp;"|"&amp;L427,PD_TermStructure!$D$2:$D$241,0)),0))</f>
        <v>0.109872</v>
      </c>
      <c r="N427" s="22" t="n">
        <f aca="false">(1+E427/100)^(-(L427/12)/2)</f>
        <v>0.941972104851124</v>
      </c>
      <c r="O427" s="32" t="n">
        <f aca="false">IF(H427&lt;=0,0,M427*Assumptions!$B$3*H427*N427)</f>
        <v>17670.3916855756</v>
      </c>
      <c r="P427" s="25" t="n">
        <v>17670.39</v>
      </c>
      <c r="Q427" s="32" t="n">
        <f aca="false">O427-P427</f>
        <v>0.00168557563665672</v>
      </c>
    </row>
    <row r="428" customFormat="false" ht="15" hidden="false" customHeight="false" outlineLevel="0" collapsed="false">
      <c r="A428" s="14" t="s">
        <v>598</v>
      </c>
      <c r="B428" s="14" t="n">
        <v>1</v>
      </c>
      <c r="C428" s="14" t="s">
        <v>154</v>
      </c>
      <c r="D428" s="14" t="n">
        <v>32</v>
      </c>
      <c r="E428" s="14" t="n">
        <v>8.07</v>
      </c>
      <c r="F428" s="31" t="n">
        <v>0.0247</v>
      </c>
      <c r="G428" s="31" t="n">
        <v>0.449</v>
      </c>
      <c r="H428" s="25" t="n">
        <v>1959753.16</v>
      </c>
      <c r="I428" s="25" t="n">
        <v>21734.25</v>
      </c>
      <c r="J428" s="32" t="n">
        <f aca="false">F428*G428*H428</f>
        <v>21734.250470348</v>
      </c>
      <c r="K428" s="32" t="n">
        <f aca="false">J428-I428</f>
        <v>0.000470348000817467</v>
      </c>
      <c r="L428" s="28" t="n">
        <f aca="false">IF(B428=1,12,IF(B428=2,MIN(MAX(D428,1),60),6))</f>
        <v>12</v>
      </c>
      <c r="M428" s="11" t="n">
        <f aca="false">IF(B428=3,1,IFERROR(INDEX(PD_TermStructure!$C$2:$C$241,MATCH(C428&amp;"|"&amp;L428,PD_TermStructure!$D$2:$D$241,0)),0))</f>
        <v>0.109872</v>
      </c>
      <c r="N428" s="22" t="n">
        <f aca="false">(1+E428/100)^(-(L428/12)/2)</f>
        <v>0.961938759733467</v>
      </c>
      <c r="O428" s="32" t="n">
        <f aca="false">IF(H428&lt;=0,0,M428*Assumptions!$B$3*H428*N428)</f>
        <v>85899.445195935</v>
      </c>
      <c r="P428" s="25" t="n">
        <v>85899.45</v>
      </c>
      <c r="Q428" s="32" t="n">
        <f aca="false">O428-P428</f>
        <v>-0.00480406501446851</v>
      </c>
    </row>
    <row r="429" customFormat="false" ht="15" hidden="false" customHeight="false" outlineLevel="0" collapsed="false">
      <c r="A429" s="14" t="s">
        <v>599</v>
      </c>
      <c r="B429" s="14" t="n">
        <v>1</v>
      </c>
      <c r="C429" s="14" t="s">
        <v>154</v>
      </c>
      <c r="D429" s="14" t="n">
        <v>65</v>
      </c>
      <c r="E429" s="14" t="n">
        <v>9.49</v>
      </c>
      <c r="F429" s="31" t="n">
        <v>0.0183</v>
      </c>
      <c r="G429" s="31" t="n">
        <v>0.5027</v>
      </c>
      <c r="H429" s="25" t="n">
        <v>1378961.26</v>
      </c>
      <c r="I429" s="25" t="n">
        <v>12685.63</v>
      </c>
      <c r="J429" s="32" t="n">
        <f aca="false">F429*G429*H429</f>
        <v>12685.6300048566</v>
      </c>
      <c r="K429" s="32" t="n">
        <f aca="false">J429-I429</f>
        <v>4.85660348203965E-006</v>
      </c>
      <c r="L429" s="28" t="n">
        <f aca="false">IF(B429=1,12,IF(B429=2,MIN(MAX(D429,1),60),6))</f>
        <v>12</v>
      </c>
      <c r="M429" s="11" t="n">
        <f aca="false">IF(B429=3,1,IFERROR(INDEX(PD_TermStructure!$C$2:$C$241,MATCH(C429&amp;"|"&amp;L429,PD_TermStructure!$D$2:$D$241,0)),0))</f>
        <v>0.109872</v>
      </c>
      <c r="N429" s="22" t="n">
        <f aca="false">(1+E429/100)^(-(L429/12)/2)</f>
        <v>0.955680604515117</v>
      </c>
      <c r="O429" s="32" t="n">
        <f aca="false">IF(H429&lt;=0,0,M429*Assumptions!$B$3*H429*N429)</f>
        <v>60049.0856254758</v>
      </c>
      <c r="P429" s="25" t="n">
        <v>60049.09</v>
      </c>
      <c r="Q429" s="32" t="n">
        <f aca="false">O429-P429</f>
        <v>-0.00437452416372253</v>
      </c>
    </row>
    <row r="430" customFormat="false" ht="15" hidden="false" customHeight="false" outlineLevel="0" collapsed="false">
      <c r="A430" s="14" t="s">
        <v>600</v>
      </c>
      <c r="B430" s="14" t="n">
        <v>1</v>
      </c>
      <c r="C430" s="14" t="s">
        <v>154</v>
      </c>
      <c r="D430" s="14" t="n">
        <v>41</v>
      </c>
      <c r="E430" s="14" t="n">
        <v>8.38</v>
      </c>
      <c r="F430" s="31" t="n">
        <v>0.0163</v>
      </c>
      <c r="G430" s="31" t="n">
        <v>0.3698</v>
      </c>
      <c r="H430" s="25" t="n">
        <v>104387.46</v>
      </c>
      <c r="I430" s="25" t="n">
        <v>629.22</v>
      </c>
      <c r="J430" s="32" t="n">
        <f aca="false">F430*G430*H430</f>
        <v>629.2204681404</v>
      </c>
      <c r="K430" s="32" t="n">
        <f aca="false">J430-I430</f>
        <v>0.00046814039990295</v>
      </c>
      <c r="L430" s="28" t="n">
        <f aca="false">IF(B430=1,12,IF(B430=2,MIN(MAX(D430,1),60),6))</f>
        <v>12</v>
      </c>
      <c r="M430" s="11" t="n">
        <f aca="false">IF(B430=3,1,IFERROR(INDEX(PD_TermStructure!$C$2:$C$241,MATCH(C430&amp;"|"&amp;L430,PD_TermStructure!$D$2:$D$241,0)),0))</f>
        <v>0.109872</v>
      </c>
      <c r="N430" s="22" t="n">
        <f aca="false">(1+E430/100)^(-(L430/12)/2)</f>
        <v>0.960562054817488</v>
      </c>
      <c r="O430" s="32" t="n">
        <f aca="false">IF(H430&lt;=0,0,M430*Assumptions!$B$3*H430*N430)</f>
        <v>4568.93856120764</v>
      </c>
      <c r="P430" s="25" t="n">
        <v>4568.94</v>
      </c>
      <c r="Q430" s="32" t="n">
        <f aca="false">O430-P430</f>
        <v>-0.00143879236384237</v>
      </c>
    </row>
    <row r="431" customFormat="false" ht="15" hidden="false" customHeight="false" outlineLevel="0" collapsed="false">
      <c r="A431" s="14" t="s">
        <v>601</v>
      </c>
      <c r="B431" s="14" t="n">
        <v>1</v>
      </c>
      <c r="C431" s="14" t="s">
        <v>154</v>
      </c>
      <c r="D431" s="14" t="n">
        <v>17</v>
      </c>
      <c r="E431" s="14" t="n">
        <v>13.58</v>
      </c>
      <c r="F431" s="31" t="n">
        <v>0.0225</v>
      </c>
      <c r="G431" s="31" t="n">
        <v>0.5901</v>
      </c>
      <c r="H431" s="25" t="n">
        <v>779242.32</v>
      </c>
      <c r="I431" s="25" t="n">
        <v>10346.2</v>
      </c>
      <c r="J431" s="32" t="n">
        <f aca="false">F431*G431*H431</f>
        <v>10346.19509322</v>
      </c>
      <c r="K431" s="32" t="n">
        <f aca="false">J431-I431</f>
        <v>-0.00490678000278422</v>
      </c>
      <c r="L431" s="28" t="n">
        <f aca="false">IF(B431=1,12,IF(B431=2,MIN(MAX(D431,1),60),6))</f>
        <v>12</v>
      </c>
      <c r="M431" s="11" t="n">
        <f aca="false">IF(B431=3,1,IFERROR(INDEX(PD_TermStructure!$C$2:$C$241,MATCH(C431&amp;"|"&amp;L431,PD_TermStructure!$D$2:$D$241,0)),0))</f>
        <v>0.109872</v>
      </c>
      <c r="N431" s="22" t="n">
        <f aca="false">(1+E431/100)^(-(L431/12)/2)</f>
        <v>0.938315883165959</v>
      </c>
      <c r="O431" s="32" t="n">
        <f aca="false">IF(H431&lt;=0,0,M431*Assumptions!$B$3*H431*N431)</f>
        <v>33316.7906333536</v>
      </c>
      <c r="P431" s="25" t="n">
        <v>33316.79</v>
      </c>
      <c r="Q431" s="32" t="n">
        <f aca="false">O431-P431</f>
        <v>0.000633353549346793</v>
      </c>
    </row>
    <row r="432" customFormat="false" ht="15" hidden="false" customHeight="false" outlineLevel="0" collapsed="false">
      <c r="A432" s="14" t="s">
        <v>602</v>
      </c>
      <c r="B432" s="14" t="n">
        <v>3</v>
      </c>
      <c r="C432" s="14" t="s">
        <v>575</v>
      </c>
      <c r="D432" s="14" t="n">
        <v>83</v>
      </c>
      <c r="E432" s="14" t="n">
        <v>8.88</v>
      </c>
      <c r="F432" s="31" t="n">
        <v>0.8241</v>
      </c>
      <c r="G432" s="31" t="n">
        <v>0.4401</v>
      </c>
      <c r="H432" s="25" t="n">
        <v>1507806.51</v>
      </c>
      <c r="I432" s="25" t="n">
        <v>546860.93</v>
      </c>
      <c r="J432" s="32" t="n">
        <f aca="false">F432*G432*H432</f>
        <v>546860.930086529</v>
      </c>
      <c r="K432" s="32" t="n">
        <f aca="false">J432-I432</f>
        <v>8.65290639922023E-005</v>
      </c>
      <c r="L432" s="28" t="n">
        <f aca="false">IF(B432=1,12,IF(B432=2,MIN(MAX(D432,1),60),6))</f>
        <v>6</v>
      </c>
      <c r="M432" s="11" t="n">
        <f aca="false">IF(B432=3,1,IFERROR(INDEX(PD_TermStructure!$C$2:$C$241,MATCH(C432&amp;"|"&amp;L432,PD_TermStructure!$D$2:$D$241,0)),0))</f>
        <v>1</v>
      </c>
      <c r="N432" s="22" t="n">
        <f aca="false">(1+E432/100)^(-(L432/12)/2)</f>
        <v>0.978955547911445</v>
      </c>
      <c r="O432" s="32" t="n">
        <f aca="false">IF(H432&lt;=0,0,M432*Assumptions!$B$3*H432*N432)</f>
        <v>612157.418817328</v>
      </c>
      <c r="P432" s="25" t="n">
        <v>612157.42</v>
      </c>
      <c r="Q432" s="32" t="n">
        <f aca="false">O432-P432</f>
        <v>-0.00118267221841961</v>
      </c>
    </row>
    <row r="433" customFormat="false" ht="15" hidden="false" customHeight="false" outlineLevel="0" collapsed="false">
      <c r="A433" s="14" t="s">
        <v>603</v>
      </c>
      <c r="B433" s="14" t="n">
        <v>1</v>
      </c>
      <c r="C433" s="14" t="s">
        <v>154</v>
      </c>
      <c r="D433" s="14" t="n">
        <v>6</v>
      </c>
      <c r="E433" s="14" t="n">
        <v>14.21</v>
      </c>
      <c r="F433" s="31" t="n">
        <v>0.0207</v>
      </c>
      <c r="G433" s="31" t="n">
        <v>0.4486</v>
      </c>
      <c r="H433" s="25" t="n">
        <v>151652.24</v>
      </c>
      <c r="I433" s="25" t="n">
        <v>1408.25</v>
      </c>
      <c r="J433" s="32" t="n">
        <f aca="false">F433*G433*H433</f>
        <v>1408.2457336848</v>
      </c>
      <c r="K433" s="32" t="n">
        <f aca="false">J433-I433</f>
        <v>-0.00426631520031151</v>
      </c>
      <c r="L433" s="28" t="n">
        <f aca="false">IF(B433=1,12,IF(B433=2,MIN(MAX(D433,1),60),6))</f>
        <v>12</v>
      </c>
      <c r="M433" s="11" t="n">
        <f aca="false">IF(B433=3,1,IFERROR(INDEX(PD_TermStructure!$C$2:$C$241,MATCH(C433&amp;"|"&amp;L433,PD_TermStructure!$D$2:$D$241,0)),0))</f>
        <v>0.109872</v>
      </c>
      <c r="N433" s="22" t="n">
        <f aca="false">(1+E433/100)^(-(L433/12)/2)</f>
        <v>0.935724356740577</v>
      </c>
      <c r="O433" s="32" t="n">
        <f aca="false">IF(H433&lt;=0,0,M433*Assumptions!$B$3*H433*N433)</f>
        <v>6466.03907695931</v>
      </c>
      <c r="P433" s="25" t="n">
        <v>6466.04</v>
      </c>
      <c r="Q433" s="32" t="n">
        <f aca="false">O433-P433</f>
        <v>-0.000923040685847809</v>
      </c>
    </row>
    <row r="434" customFormat="false" ht="15" hidden="false" customHeight="false" outlineLevel="0" collapsed="false">
      <c r="A434" s="14" t="s">
        <v>604</v>
      </c>
      <c r="B434" s="14" t="n">
        <v>1</v>
      </c>
      <c r="C434" s="14" t="s">
        <v>154</v>
      </c>
      <c r="D434" s="14" t="n">
        <v>16</v>
      </c>
      <c r="E434" s="14" t="n">
        <v>10.41</v>
      </c>
      <c r="F434" s="31" t="n">
        <v>0.0154</v>
      </c>
      <c r="G434" s="31" t="n">
        <v>0.4854</v>
      </c>
      <c r="H434" s="25" t="n">
        <v>245149.25</v>
      </c>
      <c r="I434" s="25" t="n">
        <v>1832.53</v>
      </c>
      <c r="J434" s="32" t="n">
        <f aca="false">F434*G434*H434</f>
        <v>1832.52986763</v>
      </c>
      <c r="K434" s="32" t="n">
        <f aca="false">J434-I434</f>
        <v>-0.000132370000073934</v>
      </c>
      <c r="L434" s="28" t="n">
        <f aca="false">IF(B434=1,12,IF(B434=2,MIN(MAX(D434,1),60),6))</f>
        <v>12</v>
      </c>
      <c r="M434" s="11" t="n">
        <f aca="false">IF(B434=3,1,IFERROR(INDEX(PD_TermStructure!$C$2:$C$241,MATCH(C434&amp;"|"&amp;L434,PD_TermStructure!$D$2:$D$241,0)),0))</f>
        <v>0.109872</v>
      </c>
      <c r="N434" s="22" t="n">
        <f aca="false">(1+E434/100)^(-(L434/12)/2)</f>
        <v>0.951690633578729</v>
      </c>
      <c r="O434" s="32" t="n">
        <f aca="false">IF(H434&lt;=0,0,M434*Assumptions!$B$3*H434*N434)</f>
        <v>10630.84840406</v>
      </c>
      <c r="P434" s="25" t="n">
        <v>10630.85</v>
      </c>
      <c r="Q434" s="32" t="n">
        <f aca="false">O434-P434</f>
        <v>-0.00159593999160279</v>
      </c>
    </row>
    <row r="435" customFormat="false" ht="15" hidden="false" customHeight="false" outlineLevel="0" collapsed="false">
      <c r="A435" s="14" t="s">
        <v>605</v>
      </c>
      <c r="B435" s="14" t="n">
        <v>3</v>
      </c>
      <c r="C435" s="14" t="s">
        <v>279</v>
      </c>
      <c r="D435" s="14" t="n">
        <v>44</v>
      </c>
      <c r="E435" s="14" t="n">
        <v>11.32</v>
      </c>
      <c r="F435" s="31" t="n">
        <v>0.9895</v>
      </c>
      <c r="G435" s="31" t="n">
        <v>0.5743</v>
      </c>
      <c r="H435" s="25" t="n">
        <v>412345.98</v>
      </c>
      <c r="I435" s="25" t="n">
        <v>234323.79</v>
      </c>
      <c r="J435" s="32" t="n">
        <f aca="false">F435*G435*H435</f>
        <v>234323.788202703</v>
      </c>
      <c r="K435" s="32" t="n">
        <f aca="false">J435-I435</f>
        <v>-0.00179729697993025</v>
      </c>
      <c r="L435" s="28" t="n">
        <f aca="false">IF(B435=1,12,IF(B435=2,MIN(MAX(D435,1),60),6))</f>
        <v>6</v>
      </c>
      <c r="M435" s="11" t="n">
        <f aca="false">IF(B435=3,1,IFERROR(INDEX(PD_TermStructure!$C$2:$C$241,MATCH(C435&amp;"|"&amp;L435,PD_TermStructure!$D$2:$D$241,0)),0))</f>
        <v>1</v>
      </c>
      <c r="N435" s="22" t="n">
        <f aca="false">(1+E435/100)^(-(L435/12)/2)</f>
        <v>0.973546501800773</v>
      </c>
      <c r="O435" s="32" t="n">
        <f aca="false">IF(H435&lt;=0,0,M435*Assumptions!$B$3*H435*N435)</f>
        <v>166484.189684701</v>
      </c>
      <c r="P435" s="25" t="n">
        <v>166484.19</v>
      </c>
      <c r="Q435" s="32" t="n">
        <f aca="false">O435-P435</f>
        <v>-0.000315298937493935</v>
      </c>
    </row>
    <row r="436" customFormat="false" ht="15" hidden="false" customHeight="false" outlineLevel="0" collapsed="false">
      <c r="A436" s="14" t="s">
        <v>606</v>
      </c>
      <c r="B436" s="14" t="n">
        <v>1</v>
      </c>
      <c r="C436" s="14" t="s">
        <v>155</v>
      </c>
      <c r="D436" s="14" t="n">
        <v>33</v>
      </c>
      <c r="E436" s="14" t="n">
        <v>7.53</v>
      </c>
      <c r="F436" s="31" t="n">
        <v>0.0154</v>
      </c>
      <c r="G436" s="31" t="n">
        <v>0.5932</v>
      </c>
      <c r="H436" s="25" t="n">
        <v>776323.7</v>
      </c>
      <c r="I436" s="25" t="n">
        <v>7091.93</v>
      </c>
      <c r="J436" s="32" t="n">
        <f aca="false">F436*G436*H436</f>
        <v>7091.934370136</v>
      </c>
      <c r="K436" s="32" t="n">
        <f aca="false">J436-I436</f>
        <v>0.00437013599821512</v>
      </c>
      <c r="L436" s="28" t="n">
        <f aca="false">IF(B436=1,12,IF(B436=2,MIN(MAX(D436,1),60),6))</f>
        <v>12</v>
      </c>
      <c r="M436" s="11" t="n">
        <f aca="false">IF(B436=3,1,IFERROR(INDEX(PD_TermStructure!$C$2:$C$241,MATCH(C436&amp;"|"&amp;L436,PD_TermStructure!$D$2:$D$241,0)),0))</f>
        <v>0.164153</v>
      </c>
      <c r="N436" s="22" t="n">
        <f aca="false">(1+E436/100)^(-(L436/12)/2)</f>
        <v>0.964351093109821</v>
      </c>
      <c r="O436" s="32" t="n">
        <f aca="false">IF(H436&lt;=0,0,M436*Assumptions!$B$3*H436*N436)</f>
        <v>50966.0970750454</v>
      </c>
      <c r="P436" s="25" t="n">
        <v>50966.1</v>
      </c>
      <c r="Q436" s="32" t="n">
        <f aca="false">O436-P436</f>
        <v>-0.00292495455505559</v>
      </c>
    </row>
    <row r="437" customFormat="false" ht="15" hidden="false" customHeight="false" outlineLevel="0" collapsed="false">
      <c r="A437" s="14" t="s">
        <v>607</v>
      </c>
      <c r="B437" s="14" t="n">
        <v>3</v>
      </c>
      <c r="C437" s="14" t="s">
        <v>279</v>
      </c>
      <c r="D437" s="14" t="n">
        <v>10</v>
      </c>
      <c r="E437" s="14" t="n">
        <v>9.46</v>
      </c>
      <c r="F437" s="31" t="n">
        <v>0.7573</v>
      </c>
      <c r="G437" s="31" t="n">
        <v>0.3871</v>
      </c>
      <c r="H437" s="25" t="n">
        <v>306947.44</v>
      </c>
      <c r="I437" s="25" t="n">
        <v>89981.9</v>
      </c>
      <c r="J437" s="32" t="n">
        <f aca="false">F437*G437*H437</f>
        <v>89981.8968023752</v>
      </c>
      <c r="K437" s="32" t="n">
        <f aca="false">J437-I437</f>
        <v>-0.00319762479921337</v>
      </c>
      <c r="L437" s="28" t="n">
        <f aca="false">IF(B437=1,12,IF(B437=2,MIN(MAX(D437,1),60),6))</f>
        <v>6</v>
      </c>
      <c r="M437" s="11" t="n">
        <f aca="false">IF(B437=3,1,IFERROR(INDEX(PD_TermStructure!$C$2:$C$241,MATCH(C437&amp;"|"&amp;L437,PD_TermStructure!$D$2:$D$241,0)),0))</f>
        <v>1</v>
      </c>
      <c r="N437" s="22" t="n">
        <f aca="false">(1+E437/100)^(-(L437/12)/2)</f>
        <v>0.9776561555755</v>
      </c>
      <c r="O437" s="32" t="n">
        <f aca="false">IF(H437&lt;=0,0,M437*Assumptions!$B$3*H437*N437)</f>
        <v>124452.803948706</v>
      </c>
      <c r="P437" s="25" t="n">
        <v>124452.8</v>
      </c>
      <c r="Q437" s="32" t="n">
        <f aca="false">O437-P437</f>
        <v>0.00394870633317623</v>
      </c>
    </row>
    <row r="438" customFormat="false" ht="15" hidden="false" customHeight="false" outlineLevel="0" collapsed="false">
      <c r="A438" s="14" t="s">
        <v>608</v>
      </c>
      <c r="B438" s="14" t="n">
        <v>2</v>
      </c>
      <c r="C438" s="14" t="s">
        <v>156</v>
      </c>
      <c r="D438" s="14" t="n">
        <v>0</v>
      </c>
      <c r="E438" s="14" t="n">
        <v>9.68</v>
      </c>
      <c r="F438" s="31" t="n">
        <v>0.1081</v>
      </c>
      <c r="G438" s="31" t="n">
        <v>0.4055</v>
      </c>
      <c r="H438" s="25" t="n">
        <v>0</v>
      </c>
      <c r="I438" s="25" t="n">
        <v>0</v>
      </c>
      <c r="J438" s="32" t="n">
        <f aca="false">F438*G438*H438</f>
        <v>0</v>
      </c>
      <c r="K438" s="32" t="n">
        <f aca="false">J438-I438</f>
        <v>0</v>
      </c>
      <c r="L438" s="28" t="n">
        <f aca="false">IF(B438=1,12,IF(B438=2,MIN(MAX(D438,1),60),6))</f>
        <v>1</v>
      </c>
      <c r="M438" s="11" t="n">
        <f aca="false">IF(B438=3,1,IFERROR(INDEX(PD_TermStructure!$C$2:$C$241,MATCH(C438&amp;"|"&amp;L438,PD_TermStructure!$D$2:$D$241,0)),0))</f>
        <v>0</v>
      </c>
      <c r="N438" s="22" t="n">
        <f aca="false">(1+E438/100)^(-(L438/12)/2)</f>
        <v>0.996157532524178</v>
      </c>
      <c r="O438" s="32" t="n">
        <f aca="false">IF(H438&lt;=0,0,M438*Assumptions!$B$3*H438*N438)</f>
        <v>0</v>
      </c>
      <c r="P438" s="25" t="n">
        <v>0</v>
      </c>
      <c r="Q438" s="32" t="n">
        <f aca="false">O438-P438</f>
        <v>0</v>
      </c>
    </row>
    <row r="439" customFormat="false" ht="15" hidden="false" customHeight="false" outlineLevel="0" collapsed="false">
      <c r="A439" s="14" t="s">
        <v>609</v>
      </c>
      <c r="B439" s="14" t="n">
        <v>3</v>
      </c>
      <c r="C439" s="14" t="s">
        <v>182</v>
      </c>
      <c r="D439" s="14" t="n">
        <v>73</v>
      </c>
      <c r="E439" s="14" t="n">
        <v>9.17</v>
      </c>
      <c r="F439" s="31" t="n">
        <v>0.8018</v>
      </c>
      <c r="G439" s="31" t="n">
        <v>0.4073</v>
      </c>
      <c r="H439" s="25" t="n">
        <v>1287060.25</v>
      </c>
      <c r="I439" s="25" t="n">
        <v>420319.31</v>
      </c>
      <c r="J439" s="32" t="n">
        <f aca="false">F439*G439*H439</f>
        <v>420319.307211685</v>
      </c>
      <c r="K439" s="32" t="n">
        <f aca="false">J439-I439</f>
        <v>-0.00278831500327215</v>
      </c>
      <c r="L439" s="28" t="n">
        <f aca="false">IF(B439=1,12,IF(B439=2,MIN(MAX(D439,1),60),6))</f>
        <v>6</v>
      </c>
      <c r="M439" s="11" t="n">
        <f aca="false">IF(B439=3,1,IFERROR(INDEX(PD_TermStructure!$C$2:$C$241,MATCH(C439&amp;"|"&amp;L439,PD_TermStructure!$D$2:$D$241,0)),0))</f>
        <v>1</v>
      </c>
      <c r="N439" s="22" t="n">
        <f aca="false">(1+E439/100)^(-(L439/12)/2)</f>
        <v>0.978304773081319</v>
      </c>
      <c r="O439" s="32" t="n">
        <f aca="false">IF(H439&lt;=0,0,M439*Assumptions!$B$3*H439*N439)</f>
        <v>522188.834154117</v>
      </c>
      <c r="P439" s="25" t="n">
        <v>522188.83</v>
      </c>
      <c r="Q439" s="32" t="n">
        <f aca="false">O439-P439</f>
        <v>0.00415411655558273</v>
      </c>
    </row>
    <row r="440" customFormat="false" ht="15" hidden="false" customHeight="false" outlineLevel="0" collapsed="false">
      <c r="A440" s="14" t="s">
        <v>610</v>
      </c>
      <c r="B440" s="14" t="n">
        <v>1</v>
      </c>
      <c r="C440" s="14" t="s">
        <v>154</v>
      </c>
      <c r="D440" s="14" t="n">
        <v>5</v>
      </c>
      <c r="E440" s="14" t="n">
        <v>9.44</v>
      </c>
      <c r="F440" s="31" t="n">
        <v>0.0193</v>
      </c>
      <c r="G440" s="31" t="n">
        <v>0.4105</v>
      </c>
      <c r="H440" s="25" t="n">
        <v>59312.59</v>
      </c>
      <c r="I440" s="25" t="n">
        <v>469.91</v>
      </c>
      <c r="J440" s="32" t="n">
        <f aca="false">F440*G440*H440</f>
        <v>469.9128911635</v>
      </c>
      <c r="K440" s="32" t="n">
        <f aca="false">J440-I440</f>
        <v>0.00289116349995311</v>
      </c>
      <c r="L440" s="28" t="n">
        <f aca="false">IF(B440=1,12,IF(B440=2,MIN(MAX(D440,1),60),6))</f>
        <v>12</v>
      </c>
      <c r="M440" s="11" t="n">
        <f aca="false">IF(B440=3,1,IFERROR(INDEX(PD_TermStructure!$C$2:$C$241,MATCH(C440&amp;"|"&amp;L440,PD_TermStructure!$D$2:$D$241,0)),0))</f>
        <v>0.109872</v>
      </c>
      <c r="N440" s="22" t="n">
        <f aca="false">(1+E440/100)^(-(L440/12)/2)</f>
        <v>0.955898891127341</v>
      </c>
      <c r="O440" s="32" t="n">
        <f aca="false">IF(H440&lt;=0,0,M440*Assumptions!$B$3*H440*N440)</f>
        <v>2583.45206479601</v>
      </c>
      <c r="P440" s="25" t="n">
        <v>2583.45</v>
      </c>
      <c r="Q440" s="32" t="n">
        <f aca="false">O440-P440</f>
        <v>0.00206479601274623</v>
      </c>
    </row>
    <row r="441" customFormat="false" ht="15" hidden="false" customHeight="false" outlineLevel="0" collapsed="false">
      <c r="A441" s="14" t="s">
        <v>611</v>
      </c>
      <c r="B441" s="14" t="n">
        <v>1</v>
      </c>
      <c r="C441" s="14" t="s">
        <v>154</v>
      </c>
      <c r="D441" s="14" t="n">
        <v>9</v>
      </c>
      <c r="E441" s="14" t="n">
        <v>12.74</v>
      </c>
      <c r="F441" s="31" t="n">
        <v>0.0223</v>
      </c>
      <c r="G441" s="31" t="n">
        <v>0.4327</v>
      </c>
      <c r="H441" s="25" t="n">
        <v>319454.63</v>
      </c>
      <c r="I441" s="25" t="n">
        <v>3082.48</v>
      </c>
      <c r="J441" s="32" t="n">
        <f aca="false">F441*G441*H441</f>
        <v>3082.4848103423</v>
      </c>
      <c r="K441" s="32" t="n">
        <f aca="false">J441-I441</f>
        <v>0.00481034230006117</v>
      </c>
      <c r="L441" s="28" t="n">
        <f aca="false">IF(B441=1,12,IF(B441=2,MIN(MAX(D441,1),60),6))</f>
        <v>12</v>
      </c>
      <c r="M441" s="11" t="n">
        <f aca="false">IF(B441=3,1,IFERROR(INDEX(PD_TermStructure!$C$2:$C$241,MATCH(C441&amp;"|"&amp;L441,PD_TermStructure!$D$2:$D$241,0)),0))</f>
        <v>0.109872</v>
      </c>
      <c r="N441" s="22" t="n">
        <f aca="false">(1+E441/100)^(-(L441/12)/2)</f>
        <v>0.941804984809917</v>
      </c>
      <c r="O441" s="32" t="n">
        <f aca="false">IF(H441&lt;=0,0,M441*Assumptions!$B$3*H441*N441)</f>
        <v>13709.1880231364</v>
      </c>
      <c r="P441" s="25" t="n">
        <v>13709.19</v>
      </c>
      <c r="Q441" s="32" t="n">
        <f aca="false">O441-P441</f>
        <v>-0.00197686363026151</v>
      </c>
    </row>
    <row r="442" customFormat="false" ht="15" hidden="false" customHeight="false" outlineLevel="0" collapsed="false">
      <c r="A442" s="14" t="s">
        <v>612</v>
      </c>
      <c r="B442" s="14" t="n">
        <v>1</v>
      </c>
      <c r="C442" s="14" t="s">
        <v>154</v>
      </c>
      <c r="D442" s="14" t="n">
        <v>6</v>
      </c>
      <c r="E442" s="14" t="n">
        <v>9.37</v>
      </c>
      <c r="F442" s="31" t="n">
        <v>0.0215</v>
      </c>
      <c r="G442" s="31" t="n">
        <v>0.6432</v>
      </c>
      <c r="H442" s="25" t="n">
        <v>186187.15</v>
      </c>
      <c r="I442" s="25" t="n">
        <v>2574.74</v>
      </c>
      <c r="J442" s="32" t="n">
        <f aca="false">F442*G442*H442</f>
        <v>2574.74485992</v>
      </c>
      <c r="K442" s="32" t="n">
        <f aca="false">J442-I442</f>
        <v>0.0048599199999444</v>
      </c>
      <c r="L442" s="28" t="n">
        <f aca="false">IF(B442=1,12,IF(B442=2,MIN(MAX(D442,1),60),6))</f>
        <v>12</v>
      </c>
      <c r="M442" s="11" t="n">
        <f aca="false">IF(B442=3,1,IFERROR(INDEX(PD_TermStructure!$C$2:$C$241,MATCH(C442&amp;"|"&amp;L442,PD_TermStructure!$D$2:$D$241,0)),0))</f>
        <v>0.109872</v>
      </c>
      <c r="N442" s="22" t="n">
        <f aca="false">(1+E442/100)^(-(L442/12)/2)</f>
        <v>0.956204743825735</v>
      </c>
      <c r="O442" s="32" t="n">
        <f aca="false">IF(H442&lt;=0,0,M442*Assumptions!$B$3*H442*N442)</f>
        <v>8112.26556293607</v>
      </c>
      <c r="P442" s="25" t="n">
        <v>8112.27</v>
      </c>
      <c r="Q442" s="32" t="n">
        <f aca="false">O442-P442</f>
        <v>-0.00443706392979948</v>
      </c>
    </row>
    <row r="443" customFormat="false" ht="15" hidden="false" customHeight="false" outlineLevel="0" collapsed="false">
      <c r="A443" s="14" t="s">
        <v>613</v>
      </c>
      <c r="B443" s="14" t="n">
        <v>1</v>
      </c>
      <c r="C443" s="14" t="s">
        <v>155</v>
      </c>
      <c r="D443" s="14" t="n">
        <v>15</v>
      </c>
      <c r="E443" s="14" t="n">
        <v>11.6</v>
      </c>
      <c r="F443" s="31" t="n">
        <v>0.0223</v>
      </c>
      <c r="G443" s="31" t="n">
        <v>0.381</v>
      </c>
      <c r="H443" s="25" t="n">
        <v>533952.8</v>
      </c>
      <c r="I443" s="25" t="n">
        <v>4536.62</v>
      </c>
      <c r="J443" s="32" t="n">
        <f aca="false">F443*G443*H443</f>
        <v>4536.62317464</v>
      </c>
      <c r="K443" s="32" t="n">
        <f aca="false">J443-I443</f>
        <v>0.00317464000090695</v>
      </c>
      <c r="L443" s="28" t="n">
        <f aca="false">IF(B443=1,12,IF(B443=2,MIN(MAX(D443,1),60),6))</f>
        <v>12</v>
      </c>
      <c r="M443" s="11" t="n">
        <f aca="false">IF(B443=3,1,IFERROR(INDEX(PD_TermStructure!$C$2:$C$241,MATCH(C443&amp;"|"&amp;L443,PD_TermStructure!$D$2:$D$241,0)),0))</f>
        <v>0.164153</v>
      </c>
      <c r="N443" s="22" t="n">
        <f aca="false">(1+E443/100)^(-(L443/12)/2)</f>
        <v>0.946603057078441</v>
      </c>
      <c r="O443" s="32" t="n">
        <f aca="false">IF(H443&lt;=0,0,M443*Assumptions!$B$3*H443*N443)</f>
        <v>34409.1643982386</v>
      </c>
      <c r="P443" s="25" t="n">
        <v>34409.16</v>
      </c>
      <c r="Q443" s="32" t="n">
        <f aca="false">O443-P443</f>
        <v>0.00439823862689082</v>
      </c>
    </row>
    <row r="444" customFormat="false" ht="15" hidden="false" customHeight="false" outlineLevel="0" collapsed="false">
      <c r="A444" s="14" t="s">
        <v>614</v>
      </c>
      <c r="B444" s="14" t="n">
        <v>1</v>
      </c>
      <c r="C444" s="14" t="s">
        <v>154</v>
      </c>
      <c r="D444" s="14" t="n">
        <v>7</v>
      </c>
      <c r="E444" s="14" t="n">
        <v>9.03</v>
      </c>
      <c r="F444" s="31" t="n">
        <v>0.0145</v>
      </c>
      <c r="G444" s="31" t="n">
        <v>0.5567</v>
      </c>
      <c r="H444" s="25" t="n">
        <v>105102.34</v>
      </c>
      <c r="I444" s="25" t="n">
        <v>848.4</v>
      </c>
      <c r="J444" s="32" t="n">
        <f aca="false">F444*G444*H444</f>
        <v>848.401853831</v>
      </c>
      <c r="K444" s="32" t="n">
        <f aca="false">J444-I444</f>
        <v>0.0018538310000622</v>
      </c>
      <c r="L444" s="28" t="n">
        <f aca="false">IF(B444=1,12,IF(B444=2,MIN(MAX(D444,1),60),6))</f>
        <v>12</v>
      </c>
      <c r="M444" s="11" t="n">
        <f aca="false">IF(B444=3,1,IFERROR(INDEX(PD_TermStructure!$C$2:$C$241,MATCH(C444&amp;"|"&amp;L444,PD_TermStructure!$D$2:$D$241,0)),0))</f>
        <v>0.109872</v>
      </c>
      <c r="N444" s="22" t="n">
        <f aca="false">(1+E444/100)^(-(L444/12)/2)</f>
        <v>0.957694501466914</v>
      </c>
      <c r="O444" s="32" t="n">
        <f aca="false">IF(H444&lt;=0,0,M444*Assumptions!$B$3*H444*N444)</f>
        <v>4586.49516907383</v>
      </c>
      <c r="P444" s="25" t="n">
        <v>4586.5</v>
      </c>
      <c r="Q444" s="32" t="n">
        <f aca="false">O444-P444</f>
        <v>-0.00483092617378134</v>
      </c>
    </row>
    <row r="445" customFormat="false" ht="15" hidden="false" customHeight="false" outlineLevel="0" collapsed="false">
      <c r="A445" s="14" t="s">
        <v>615</v>
      </c>
      <c r="B445" s="14" t="n">
        <v>1</v>
      </c>
      <c r="C445" s="14" t="s">
        <v>155</v>
      </c>
      <c r="D445" s="14" t="n">
        <v>29</v>
      </c>
      <c r="E445" s="14" t="n">
        <v>12.77</v>
      </c>
      <c r="F445" s="31" t="n">
        <v>0.0219</v>
      </c>
      <c r="G445" s="31" t="n">
        <v>0.4177</v>
      </c>
      <c r="H445" s="25" t="n">
        <v>183754.66</v>
      </c>
      <c r="I445" s="25" t="n">
        <v>1680.92</v>
      </c>
      <c r="J445" s="32" t="n">
        <f aca="false">F445*G445*H445</f>
        <v>1680.9196404558</v>
      </c>
      <c r="K445" s="32" t="n">
        <f aca="false">J445-I445</f>
        <v>-0.000359544199909578</v>
      </c>
      <c r="L445" s="28" t="n">
        <f aca="false">IF(B445=1,12,IF(B445=2,MIN(MAX(D445,1),60),6))</f>
        <v>12</v>
      </c>
      <c r="M445" s="11" t="n">
        <f aca="false">IF(B445=3,1,IFERROR(INDEX(PD_TermStructure!$C$2:$C$241,MATCH(C445&amp;"|"&amp;L445,PD_TermStructure!$D$2:$D$241,0)),0))</f>
        <v>0.164153</v>
      </c>
      <c r="N445" s="22" t="n">
        <f aca="false">(1+E445/100)^(-(L445/12)/2)</f>
        <v>0.941679703135294</v>
      </c>
      <c r="O445" s="32" t="n">
        <f aca="false">IF(H445&lt;=0,0,M445*Assumptions!$B$3*H445*N445)</f>
        <v>11779.9901310503</v>
      </c>
      <c r="P445" s="25" t="n">
        <v>11779.99</v>
      </c>
      <c r="Q445" s="32" t="n">
        <f aca="false">O445-P445</f>
        <v>0.000131050261188648</v>
      </c>
    </row>
    <row r="446" customFormat="false" ht="15" hidden="false" customHeight="false" outlineLevel="0" collapsed="false">
      <c r="A446" s="14" t="s">
        <v>616</v>
      </c>
      <c r="B446" s="14" t="n">
        <v>1</v>
      </c>
      <c r="C446" s="14" t="s">
        <v>154</v>
      </c>
      <c r="D446" s="14" t="n">
        <v>56</v>
      </c>
      <c r="E446" s="14" t="n">
        <v>8.26</v>
      </c>
      <c r="F446" s="31" t="n">
        <v>0.0239</v>
      </c>
      <c r="G446" s="31" t="n">
        <v>0.5283</v>
      </c>
      <c r="H446" s="25" t="n">
        <v>501131.38</v>
      </c>
      <c r="I446" s="25" t="n">
        <v>6327.47</v>
      </c>
      <c r="J446" s="32" t="n">
        <f aca="false">F446*G446*H446</f>
        <v>6327.4702224906</v>
      </c>
      <c r="K446" s="32" t="n">
        <f aca="false">J446-I446</f>
        <v>0.000222490599298908</v>
      </c>
      <c r="L446" s="28" t="n">
        <f aca="false">IF(B446=1,12,IF(B446=2,MIN(MAX(D446,1),60),6))</f>
        <v>12</v>
      </c>
      <c r="M446" s="11" t="n">
        <f aca="false">IF(B446=3,1,IFERROR(INDEX(PD_TermStructure!$C$2:$C$241,MATCH(C446&amp;"|"&amp;L446,PD_TermStructure!$D$2:$D$241,0)),0))</f>
        <v>0.109872</v>
      </c>
      <c r="N446" s="22" t="n">
        <f aca="false">(1+E446/100)^(-(L446/12)/2)</f>
        <v>0.961094271344509</v>
      </c>
      <c r="O446" s="32" t="n">
        <f aca="false">IF(H446&lt;=0,0,M446*Assumptions!$B$3*H446*N446)</f>
        <v>21946.1906758325</v>
      </c>
      <c r="P446" s="25" t="n">
        <v>21946.19</v>
      </c>
      <c r="Q446" s="32" t="n">
        <f aca="false">O446-P446</f>
        <v>0.000675832539855037</v>
      </c>
    </row>
    <row r="447" customFormat="false" ht="15" hidden="false" customHeight="false" outlineLevel="0" collapsed="false">
      <c r="A447" s="14" t="s">
        <v>617</v>
      </c>
      <c r="B447" s="14" t="n">
        <v>1</v>
      </c>
      <c r="C447" s="14" t="s">
        <v>154</v>
      </c>
      <c r="D447" s="14" t="n">
        <v>56</v>
      </c>
      <c r="E447" s="14" t="n">
        <v>10.75</v>
      </c>
      <c r="F447" s="31" t="n">
        <v>0.0236</v>
      </c>
      <c r="G447" s="31" t="n">
        <v>0.4221</v>
      </c>
      <c r="H447" s="25" t="n">
        <v>222092.79</v>
      </c>
      <c r="I447" s="25" t="n">
        <v>2212.39</v>
      </c>
      <c r="J447" s="32" t="n">
        <f aca="false">F447*G447*H447</f>
        <v>2212.3906531524</v>
      </c>
      <c r="K447" s="32" t="n">
        <f aca="false">J447-I447</f>
        <v>0.000653152399991086</v>
      </c>
      <c r="L447" s="28" t="n">
        <f aca="false">IF(B447=1,12,IF(B447=2,MIN(MAX(D447,1),60),6))</f>
        <v>12</v>
      </c>
      <c r="M447" s="11" t="n">
        <f aca="false">IF(B447=3,1,IFERROR(INDEX(PD_TermStructure!$C$2:$C$241,MATCH(C447&amp;"|"&amp;L447,PD_TermStructure!$D$2:$D$241,0)),0))</f>
        <v>0.109872</v>
      </c>
      <c r="N447" s="22" t="n">
        <f aca="false">(1+E447/100)^(-(L447/12)/2)</f>
        <v>0.95022867629116</v>
      </c>
      <c r="O447" s="32" t="n">
        <f aca="false">IF(H447&lt;=0,0,M447*Assumptions!$B$3*H447*N447)</f>
        <v>9616.21475317962</v>
      </c>
      <c r="P447" s="25" t="n">
        <v>9616.21</v>
      </c>
      <c r="Q447" s="32" t="n">
        <f aca="false">O447-P447</f>
        <v>0.00475317962263944</v>
      </c>
    </row>
    <row r="448" customFormat="false" ht="15" hidden="false" customHeight="false" outlineLevel="0" collapsed="false">
      <c r="A448" s="14" t="s">
        <v>618</v>
      </c>
      <c r="B448" s="14" t="n">
        <v>1</v>
      </c>
      <c r="C448" s="14" t="s">
        <v>154</v>
      </c>
      <c r="D448" s="14" t="n">
        <v>26</v>
      </c>
      <c r="E448" s="14" t="n">
        <v>10.49</v>
      </c>
      <c r="F448" s="31" t="n">
        <v>0.0144</v>
      </c>
      <c r="G448" s="31" t="n">
        <v>0.5796</v>
      </c>
      <c r="H448" s="25" t="n">
        <v>1565702.1</v>
      </c>
      <c r="I448" s="25" t="n">
        <v>13067.73</v>
      </c>
      <c r="J448" s="32" t="n">
        <f aca="false">F448*G448*H448</f>
        <v>13067.725495104</v>
      </c>
      <c r="K448" s="32" t="n">
        <f aca="false">J448-I448</f>
        <v>-0.00450489600007131</v>
      </c>
      <c r="L448" s="28" t="n">
        <f aca="false">IF(B448=1,12,IF(B448=2,MIN(MAX(D448,1),60),6))</f>
        <v>12</v>
      </c>
      <c r="M448" s="11" t="n">
        <f aca="false">IF(B448=3,1,IFERROR(INDEX(PD_TermStructure!$C$2:$C$241,MATCH(C448&amp;"|"&amp;L448,PD_TermStructure!$D$2:$D$241,0)),0))</f>
        <v>0.109872</v>
      </c>
      <c r="N448" s="22" t="n">
        <f aca="false">(1+E448/100)^(-(L448/12)/2)</f>
        <v>0.951346036614927</v>
      </c>
      <c r="O448" s="32" t="n">
        <f aca="false">IF(H448&lt;=0,0,M448*Assumptions!$B$3*H448*N448)</f>
        <v>67871.7752092225</v>
      </c>
      <c r="P448" s="25" t="n">
        <v>67871.78</v>
      </c>
      <c r="Q448" s="32" t="n">
        <f aca="false">O448-P448</f>
        <v>-0.00479077754425816</v>
      </c>
    </row>
    <row r="449" customFormat="false" ht="15" hidden="false" customHeight="false" outlineLevel="0" collapsed="false">
      <c r="A449" s="14" t="s">
        <v>619</v>
      </c>
      <c r="B449" s="14" t="n">
        <v>1</v>
      </c>
      <c r="C449" s="14" t="s">
        <v>154</v>
      </c>
      <c r="D449" s="14" t="n">
        <v>33</v>
      </c>
      <c r="E449" s="14" t="n">
        <v>13.01</v>
      </c>
      <c r="F449" s="31" t="n">
        <v>0.0174</v>
      </c>
      <c r="G449" s="31" t="n">
        <v>0.5067</v>
      </c>
      <c r="H449" s="25" t="n">
        <v>1504577.39</v>
      </c>
      <c r="I449" s="25" t="n">
        <v>13265.23</v>
      </c>
      <c r="J449" s="32" t="n">
        <f aca="false">F449*G449*H449</f>
        <v>13265.2269251262</v>
      </c>
      <c r="K449" s="32" t="n">
        <f aca="false">J449-I449</f>
        <v>-0.00307487380086968</v>
      </c>
      <c r="L449" s="28" t="n">
        <f aca="false">IF(B449=1,12,IF(B449=2,MIN(MAX(D449,1),60),6))</f>
        <v>12</v>
      </c>
      <c r="M449" s="11" t="n">
        <f aca="false">IF(B449=3,1,IFERROR(INDEX(PD_TermStructure!$C$2:$C$241,MATCH(C449&amp;"|"&amp;L449,PD_TermStructure!$D$2:$D$241,0)),0))</f>
        <v>0.109872</v>
      </c>
      <c r="N449" s="22" t="n">
        <f aca="false">(1+E449/100)^(-(L449/12)/2)</f>
        <v>0.940679246328918</v>
      </c>
      <c r="O449" s="32" t="n">
        <f aca="false">IF(H449&lt;=0,0,M449*Assumptions!$B$3*H449*N449)</f>
        <v>64490.7837481029</v>
      </c>
      <c r="P449" s="25" t="n">
        <v>64490.78</v>
      </c>
      <c r="Q449" s="32" t="n">
        <f aca="false">O449-P449</f>
        <v>0.00374810289213201</v>
      </c>
    </row>
    <row r="450" customFormat="false" ht="15" hidden="false" customHeight="false" outlineLevel="0" collapsed="false">
      <c r="A450" s="14" t="s">
        <v>620</v>
      </c>
      <c r="B450" s="14" t="n">
        <v>1</v>
      </c>
      <c r="C450" s="14" t="s">
        <v>154</v>
      </c>
      <c r="D450" s="14" t="n">
        <v>46</v>
      </c>
      <c r="E450" s="14" t="n">
        <v>13.7</v>
      </c>
      <c r="F450" s="31" t="n">
        <v>0.0184</v>
      </c>
      <c r="G450" s="31" t="n">
        <v>0.5965</v>
      </c>
      <c r="H450" s="25" t="n">
        <v>393474.15</v>
      </c>
      <c r="I450" s="25" t="n">
        <v>4318.61</v>
      </c>
      <c r="J450" s="32" t="n">
        <f aca="false">F450*G450*H450</f>
        <v>4318.61488074</v>
      </c>
      <c r="K450" s="32" t="n">
        <f aca="false">J450-I450</f>
        <v>0.00488074000077177</v>
      </c>
      <c r="L450" s="28" t="n">
        <f aca="false">IF(B450=1,12,IF(B450=2,MIN(MAX(D450,1),60),6))</f>
        <v>12</v>
      </c>
      <c r="M450" s="11" t="n">
        <f aca="false">IF(B450=3,1,IFERROR(INDEX(PD_TermStructure!$C$2:$C$241,MATCH(C450&amp;"|"&amp;L450,PD_TermStructure!$D$2:$D$241,0)),0))</f>
        <v>0.109872</v>
      </c>
      <c r="N450" s="22" t="n">
        <f aca="false">(1+E450/100)^(-(L450/12)/2)</f>
        <v>0.937820598949258</v>
      </c>
      <c r="O450" s="32" t="n">
        <f aca="false">IF(H450&lt;=0,0,M450*Assumptions!$B$3*H450*N450)</f>
        <v>16814.251329037</v>
      </c>
      <c r="P450" s="25" t="n">
        <v>16814.25</v>
      </c>
      <c r="Q450" s="32" t="n">
        <f aca="false">O450-P450</f>
        <v>0.00132903702979092</v>
      </c>
    </row>
    <row r="451" customFormat="false" ht="15" hidden="false" customHeight="false" outlineLevel="0" collapsed="false">
      <c r="A451" s="14" t="s">
        <v>621</v>
      </c>
      <c r="B451" s="14" t="n">
        <v>2</v>
      </c>
      <c r="C451" s="14" t="s">
        <v>156</v>
      </c>
      <c r="D451" s="14" t="n">
        <v>5</v>
      </c>
      <c r="E451" s="14" t="n">
        <v>12.91</v>
      </c>
      <c r="F451" s="31" t="n">
        <v>0.1234</v>
      </c>
      <c r="G451" s="31" t="n">
        <v>0.4921</v>
      </c>
      <c r="H451" s="25" t="n">
        <v>158156.81</v>
      </c>
      <c r="I451" s="25" t="n">
        <v>9604.09</v>
      </c>
      <c r="J451" s="32" t="n">
        <f aca="false">F451*G451*H451</f>
        <v>9604.0944292034</v>
      </c>
      <c r="K451" s="32" t="n">
        <f aca="false">J451-I451</f>
        <v>0.0044292033999227</v>
      </c>
      <c r="L451" s="28" t="n">
        <f aca="false">IF(B451=1,12,IF(B451=2,MIN(MAX(D451,1),60),6))</f>
        <v>5</v>
      </c>
      <c r="M451" s="11" t="n">
        <f aca="false">IF(B451=3,1,IFERROR(INDEX(PD_TermStructure!$C$2:$C$241,MATCH(C451&amp;"|"&amp;L451,PD_TermStructure!$D$2:$D$241,0)),0))</f>
        <v>0.729825</v>
      </c>
      <c r="N451" s="22" t="n">
        <f aca="false">(1+E451/100)^(-(L451/12)/2)</f>
        <v>0.975021251802908</v>
      </c>
      <c r="O451" s="32" t="n">
        <f aca="false">IF(H451&lt;=0,0,M451*Assumptions!$B$3*H451*N451)</f>
        <v>46674.0240440747</v>
      </c>
      <c r="P451" s="25" t="n">
        <v>46674.02</v>
      </c>
      <c r="Q451" s="32" t="n">
        <f aca="false">O451-P451</f>
        <v>0.00404407471796731</v>
      </c>
    </row>
    <row r="452" customFormat="false" ht="15" hidden="false" customHeight="false" outlineLevel="0" collapsed="false">
      <c r="A452" s="14" t="s">
        <v>622</v>
      </c>
      <c r="B452" s="14" t="n">
        <v>1</v>
      </c>
      <c r="C452" s="14" t="s">
        <v>154</v>
      </c>
      <c r="D452" s="14" t="n">
        <v>41</v>
      </c>
      <c r="E452" s="14" t="n">
        <v>12.58</v>
      </c>
      <c r="F452" s="31" t="n">
        <v>0.0195</v>
      </c>
      <c r="G452" s="31" t="n">
        <v>0.3622</v>
      </c>
      <c r="H452" s="25" t="n">
        <v>237032</v>
      </c>
      <c r="I452" s="25" t="n">
        <v>1674.13</v>
      </c>
      <c r="J452" s="32" t="n">
        <f aca="false">F452*G452*H452</f>
        <v>1674.1333128</v>
      </c>
      <c r="K452" s="32" t="n">
        <f aca="false">J452-I452</f>
        <v>0.00331280000000334</v>
      </c>
      <c r="L452" s="28" t="n">
        <f aca="false">IF(B452=1,12,IF(B452=2,MIN(MAX(D452,1),60),6))</f>
        <v>12</v>
      </c>
      <c r="M452" s="11" t="n">
        <f aca="false">IF(B452=3,1,IFERROR(INDEX(PD_TermStructure!$C$2:$C$241,MATCH(C452&amp;"|"&amp;L452,PD_TermStructure!$D$2:$D$241,0)),0))</f>
        <v>0.109872</v>
      </c>
      <c r="N452" s="22" t="n">
        <f aca="false">(1+E452/100)^(-(L452/12)/2)</f>
        <v>0.94247399926815</v>
      </c>
      <c r="O452" s="32" t="n">
        <f aca="false">IF(H452&lt;=0,0,M452*Assumptions!$B$3*H452*N452)</f>
        <v>10179.3001426032</v>
      </c>
      <c r="P452" s="25" t="n">
        <v>10179.3</v>
      </c>
      <c r="Q452" s="32" t="n">
        <f aca="false">O452-P452</f>
        <v>0.000142603210406378</v>
      </c>
    </row>
    <row r="453" customFormat="false" ht="15" hidden="false" customHeight="false" outlineLevel="0" collapsed="false">
      <c r="A453" s="14" t="s">
        <v>623</v>
      </c>
      <c r="B453" s="14" t="n">
        <v>1</v>
      </c>
      <c r="C453" s="14" t="s">
        <v>154</v>
      </c>
      <c r="D453" s="14" t="n">
        <v>17</v>
      </c>
      <c r="E453" s="14" t="n">
        <v>8.84</v>
      </c>
      <c r="F453" s="31" t="n">
        <v>0.0227</v>
      </c>
      <c r="G453" s="31" t="n">
        <v>0.3903</v>
      </c>
      <c r="H453" s="25" t="n">
        <v>433464.82</v>
      </c>
      <c r="I453" s="25" t="n">
        <v>3840.42</v>
      </c>
      <c r="J453" s="32" t="n">
        <f aca="false">F453*G453*H453</f>
        <v>3840.4159468842</v>
      </c>
      <c r="K453" s="32" t="n">
        <f aca="false">J453-I453</f>
        <v>-0.00405311579970658</v>
      </c>
      <c r="L453" s="28" t="n">
        <f aca="false">IF(B453=1,12,IF(B453=2,MIN(MAX(D453,1),60),6))</f>
        <v>12</v>
      </c>
      <c r="M453" s="11" t="n">
        <f aca="false">IF(B453=3,1,IFERROR(INDEX(PD_TermStructure!$C$2:$C$241,MATCH(C453&amp;"|"&amp;L453,PD_TermStructure!$D$2:$D$241,0)),0))</f>
        <v>0.109872</v>
      </c>
      <c r="N453" s="22" t="n">
        <f aca="false">(1+E453/100)^(-(L453/12)/2)</f>
        <v>0.958530051873942</v>
      </c>
      <c r="O453" s="32" t="n">
        <f aca="false">IF(H453&lt;=0,0,M453*Assumptions!$B$3*H453*N453)</f>
        <v>18932.2029125976</v>
      </c>
      <c r="P453" s="25" t="n">
        <v>18932.2</v>
      </c>
      <c r="Q453" s="32" t="n">
        <f aca="false">O453-P453</f>
        <v>0.00291259758887463</v>
      </c>
    </row>
    <row r="454" customFormat="false" ht="15" hidden="false" customHeight="false" outlineLevel="0" collapsed="false">
      <c r="A454" s="14" t="s">
        <v>624</v>
      </c>
      <c r="B454" s="14" t="n">
        <v>1</v>
      </c>
      <c r="C454" s="14" t="s">
        <v>154</v>
      </c>
      <c r="D454" s="14" t="n">
        <v>22</v>
      </c>
      <c r="E454" s="14" t="n">
        <v>13.3</v>
      </c>
      <c r="F454" s="31" t="n">
        <v>0.0211</v>
      </c>
      <c r="G454" s="31" t="n">
        <v>0.5393</v>
      </c>
      <c r="H454" s="25" t="n">
        <v>755729.29</v>
      </c>
      <c r="I454" s="25" t="n">
        <v>8599.62</v>
      </c>
      <c r="J454" s="32" t="n">
        <f aca="false">F454*G454*H454</f>
        <v>8599.6174086467</v>
      </c>
      <c r="K454" s="32" t="n">
        <f aca="false">J454-I454</f>
        <v>-0.00259135329906712</v>
      </c>
      <c r="L454" s="28" t="n">
        <f aca="false">IF(B454=1,12,IF(B454=2,MIN(MAX(D454,1),60),6))</f>
        <v>12</v>
      </c>
      <c r="M454" s="11" t="n">
        <f aca="false">IF(B454=3,1,IFERROR(INDEX(PD_TermStructure!$C$2:$C$241,MATCH(C454&amp;"|"&amp;L454,PD_TermStructure!$D$2:$D$241,0)),0))</f>
        <v>0.109872</v>
      </c>
      <c r="N454" s="22" t="n">
        <f aca="false">(1+E454/100)^(-(L454/12)/2)</f>
        <v>0.939474604818017</v>
      </c>
      <c r="O454" s="32" t="n">
        <f aca="false">IF(H454&lt;=0,0,M454*Assumptions!$B$3*H454*N454)</f>
        <v>32351.3837188992</v>
      </c>
      <c r="P454" s="25" t="n">
        <v>32351.38</v>
      </c>
      <c r="Q454" s="32" t="n">
        <f aca="false">O454-P454</f>
        <v>0.0037188991518633</v>
      </c>
    </row>
    <row r="455" customFormat="false" ht="15" hidden="false" customHeight="false" outlineLevel="0" collapsed="false">
      <c r="A455" s="14" t="s">
        <v>625</v>
      </c>
      <c r="B455" s="14" t="n">
        <v>1</v>
      </c>
      <c r="C455" s="14" t="s">
        <v>154</v>
      </c>
      <c r="D455" s="14" t="n">
        <v>17</v>
      </c>
      <c r="E455" s="14" t="n">
        <v>14.44</v>
      </c>
      <c r="F455" s="31" t="n">
        <v>0.018</v>
      </c>
      <c r="G455" s="31" t="n">
        <v>0.5411</v>
      </c>
      <c r="H455" s="25" t="n">
        <v>315776.83</v>
      </c>
      <c r="I455" s="25" t="n">
        <v>3075.6</v>
      </c>
      <c r="J455" s="32" t="n">
        <f aca="false">F455*G455*H455</f>
        <v>3075.603168834</v>
      </c>
      <c r="K455" s="32" t="n">
        <f aca="false">J455-I455</f>
        <v>0.00316883400000734</v>
      </c>
      <c r="L455" s="28" t="n">
        <f aca="false">IF(B455=1,12,IF(B455=2,MIN(MAX(D455,1),60),6))</f>
        <v>12</v>
      </c>
      <c r="M455" s="11" t="n">
        <f aca="false">IF(B455=3,1,IFERROR(INDEX(PD_TermStructure!$C$2:$C$241,MATCH(C455&amp;"|"&amp;L455,PD_TermStructure!$D$2:$D$241,0)),0))</f>
        <v>0.109872</v>
      </c>
      <c r="N455" s="22" t="n">
        <f aca="false">(1+E455/100)^(-(L455/12)/2)</f>
        <v>0.934783580588349</v>
      </c>
      <c r="O455" s="32" t="n">
        <f aca="false">IF(H455&lt;=0,0,M455*Assumptions!$B$3*H455*N455)</f>
        <v>13450.3286837999</v>
      </c>
      <c r="P455" s="25" t="n">
        <v>13450.33</v>
      </c>
      <c r="Q455" s="32" t="n">
        <f aca="false">O455-P455</f>
        <v>-0.00131620010142797</v>
      </c>
    </row>
    <row r="456" customFormat="false" ht="15" hidden="false" customHeight="false" outlineLevel="0" collapsed="false">
      <c r="A456" s="14" t="s">
        <v>626</v>
      </c>
      <c r="B456" s="14" t="n">
        <v>1</v>
      </c>
      <c r="C456" s="14" t="s">
        <v>154</v>
      </c>
      <c r="D456" s="14" t="n">
        <v>56</v>
      </c>
      <c r="E456" s="14" t="n">
        <v>11.73</v>
      </c>
      <c r="F456" s="31" t="n">
        <v>0.0213</v>
      </c>
      <c r="G456" s="31" t="n">
        <v>0.5018</v>
      </c>
      <c r="H456" s="25" t="n">
        <v>689585.73</v>
      </c>
      <c r="I456" s="25" t="n">
        <v>7370.53</v>
      </c>
      <c r="J456" s="32" t="n">
        <f aca="false">F456*G456*H456</f>
        <v>7370.5267413882</v>
      </c>
      <c r="K456" s="32" t="n">
        <f aca="false">J456-I456</f>
        <v>-0.0032586117995379</v>
      </c>
      <c r="L456" s="28" t="n">
        <f aca="false">IF(B456=1,12,IF(B456=2,MIN(MAX(D456,1),60),6))</f>
        <v>12</v>
      </c>
      <c r="M456" s="11" t="n">
        <f aca="false">IF(B456=3,1,IFERROR(INDEX(PD_TermStructure!$C$2:$C$241,MATCH(C456&amp;"|"&amp;L456,PD_TermStructure!$D$2:$D$241,0)),0))</f>
        <v>0.109872</v>
      </c>
      <c r="N456" s="22" t="n">
        <f aca="false">(1+E456/100)^(-(L456/12)/2)</f>
        <v>0.946052201384082</v>
      </c>
      <c r="O456" s="32" t="n">
        <f aca="false">IF(H456&lt;=0,0,M456*Assumptions!$B$3*H456*N456)</f>
        <v>29726.5786627147</v>
      </c>
      <c r="P456" s="25" t="n">
        <v>29726.58</v>
      </c>
      <c r="Q456" s="32" t="n">
        <f aca="false">O456-P456</f>
        <v>-0.00133728533182875</v>
      </c>
    </row>
    <row r="457" customFormat="false" ht="15" hidden="false" customHeight="false" outlineLevel="0" collapsed="false">
      <c r="A457" s="14" t="s">
        <v>627</v>
      </c>
      <c r="B457" s="14" t="n">
        <v>2</v>
      </c>
      <c r="C457" s="14" t="s">
        <v>157</v>
      </c>
      <c r="D457" s="14" t="n">
        <v>34</v>
      </c>
      <c r="E457" s="14" t="n">
        <v>9.16</v>
      </c>
      <c r="F457" s="31" t="n">
        <v>0.0951</v>
      </c>
      <c r="G457" s="31" t="n">
        <v>0.4867</v>
      </c>
      <c r="H457" s="25" t="n">
        <v>518587.28</v>
      </c>
      <c r="I457" s="25" t="n">
        <v>24002.9</v>
      </c>
      <c r="J457" s="32" t="n">
        <f aca="false">F457*G457*H457</f>
        <v>24002.9004146376</v>
      </c>
      <c r="K457" s="32" t="n">
        <f aca="false">J457-I457</f>
        <v>0.000414637604990276</v>
      </c>
      <c r="L457" s="28" t="n">
        <f aca="false">IF(B457=1,12,IF(B457=2,MIN(MAX(D457,1),60),6))</f>
        <v>34</v>
      </c>
      <c r="M457" s="11" t="n">
        <f aca="false">IF(B457=3,1,IFERROR(INDEX(PD_TermStructure!$C$2:$C$241,MATCH(C457&amp;"|"&amp;L457,PD_TermStructure!$D$2:$D$241,0)),0))</f>
        <v>1</v>
      </c>
      <c r="N457" s="22" t="n">
        <f aca="false">(1+E457/100)^(-(L457/12)/2)</f>
        <v>0.883235812574435</v>
      </c>
      <c r="O457" s="32" t="n">
        <f aca="false">IF(H457&lt;=0,0,M457*Assumptions!$B$3*H457*N457)</f>
        <v>189956.019890214</v>
      </c>
      <c r="P457" s="25" t="n">
        <v>189956.02</v>
      </c>
      <c r="Q457" s="32" t="n">
        <f aca="false">O457-P457</f>
        <v>-0.000109786458779126</v>
      </c>
    </row>
    <row r="458" customFormat="false" ht="15" hidden="false" customHeight="false" outlineLevel="0" collapsed="false">
      <c r="A458" s="14" t="s">
        <v>628</v>
      </c>
      <c r="B458" s="14" t="n">
        <v>1</v>
      </c>
      <c r="C458" s="14" t="s">
        <v>154</v>
      </c>
      <c r="D458" s="14" t="n">
        <v>50</v>
      </c>
      <c r="E458" s="14" t="n">
        <v>10.47</v>
      </c>
      <c r="F458" s="31" t="n">
        <v>0.0189</v>
      </c>
      <c r="G458" s="31" t="n">
        <v>0.4136</v>
      </c>
      <c r="H458" s="25" t="n">
        <v>545157.52</v>
      </c>
      <c r="I458" s="25" t="n">
        <v>4261.52</v>
      </c>
      <c r="J458" s="32" t="n">
        <f aca="false">F458*G458*H458</f>
        <v>4261.5181401408</v>
      </c>
      <c r="K458" s="32" t="n">
        <f aca="false">J458-I458</f>
        <v>-0.0018598591996124</v>
      </c>
      <c r="L458" s="28" t="n">
        <f aca="false">IF(B458=1,12,IF(B458=2,MIN(MAX(D458,1),60),6))</f>
        <v>12</v>
      </c>
      <c r="M458" s="11" t="n">
        <f aca="false">IF(B458=3,1,IFERROR(INDEX(PD_TermStructure!$C$2:$C$241,MATCH(C458&amp;"|"&amp;L458,PD_TermStructure!$D$2:$D$241,0)),0))</f>
        <v>0.109872</v>
      </c>
      <c r="N458" s="22" t="n">
        <f aca="false">(1+E458/100)^(-(L458/12)/2)</f>
        <v>0.951432150761889</v>
      </c>
      <c r="O458" s="32" t="n">
        <f aca="false">IF(H458&lt;=0,0,M458*Assumptions!$B$3*H458*N458)</f>
        <v>23634.2263948442</v>
      </c>
      <c r="P458" s="25" t="n">
        <v>23634.23</v>
      </c>
      <c r="Q458" s="32" t="n">
        <f aca="false">O458-P458</f>
        <v>-0.00360515580905485</v>
      </c>
    </row>
    <row r="459" customFormat="false" ht="15" hidden="false" customHeight="false" outlineLevel="0" collapsed="false">
      <c r="A459" s="14" t="s">
        <v>629</v>
      </c>
      <c r="B459" s="14" t="n">
        <v>1</v>
      </c>
      <c r="C459" s="14" t="s">
        <v>154</v>
      </c>
      <c r="D459" s="14" t="n">
        <v>16</v>
      </c>
      <c r="E459" s="14" t="n">
        <v>9.5</v>
      </c>
      <c r="F459" s="31" t="n">
        <v>0.0151</v>
      </c>
      <c r="G459" s="31" t="n">
        <v>0.5067</v>
      </c>
      <c r="H459" s="25" t="n">
        <v>207671.29</v>
      </c>
      <c r="I459" s="25" t="n">
        <v>1588.93</v>
      </c>
      <c r="J459" s="32" t="n">
        <f aca="false">F459*G459*H459</f>
        <v>1588.9283439093</v>
      </c>
      <c r="K459" s="32" t="n">
        <f aca="false">J459-I459</f>
        <v>-0.00165609069995298</v>
      </c>
      <c r="L459" s="28" t="n">
        <f aca="false">IF(B459=1,12,IF(B459=2,MIN(MAX(D459,1),60),6))</f>
        <v>12</v>
      </c>
      <c r="M459" s="11" t="n">
        <f aca="false">IF(B459=3,1,IFERROR(INDEX(PD_TermStructure!$C$2:$C$241,MATCH(C459&amp;"|"&amp;L459,PD_TermStructure!$D$2:$D$241,0)),0))</f>
        <v>0.109872</v>
      </c>
      <c r="N459" s="22" t="n">
        <f aca="false">(1+E459/100)^(-(L459/12)/2)</f>
        <v>0.955636965134993</v>
      </c>
      <c r="O459" s="32" t="n">
        <f aca="false">IF(H459&lt;=0,0,M459*Assumptions!$B$3*H459*N459)</f>
        <v>9042.96733779078</v>
      </c>
      <c r="P459" s="25" t="n">
        <v>9042.97</v>
      </c>
      <c r="Q459" s="32" t="n">
        <f aca="false">O459-P459</f>
        <v>-0.00266220922094362</v>
      </c>
    </row>
    <row r="460" customFormat="false" ht="15" hidden="false" customHeight="false" outlineLevel="0" collapsed="false">
      <c r="A460" s="14" t="s">
        <v>630</v>
      </c>
      <c r="B460" s="14" t="n">
        <v>1</v>
      </c>
      <c r="C460" s="14" t="s">
        <v>154</v>
      </c>
      <c r="D460" s="14" t="n">
        <v>41</v>
      </c>
      <c r="E460" s="14" t="n">
        <v>8.26</v>
      </c>
      <c r="F460" s="31" t="n">
        <v>0.0217</v>
      </c>
      <c r="G460" s="31" t="n">
        <v>0.4022</v>
      </c>
      <c r="H460" s="25" t="n">
        <v>1374919.29</v>
      </c>
      <c r="I460" s="25" t="n">
        <v>11999.94</v>
      </c>
      <c r="J460" s="32" t="n">
        <f aca="false">F460*G460*H460</f>
        <v>11999.9380841046</v>
      </c>
      <c r="K460" s="32" t="n">
        <f aca="false">J460-I460</f>
        <v>-0.00191589540008863</v>
      </c>
      <c r="L460" s="28" t="n">
        <f aca="false">IF(B460=1,12,IF(B460=2,MIN(MAX(D460,1),60),6))</f>
        <v>12</v>
      </c>
      <c r="M460" s="11" t="n">
        <f aca="false">IF(B460=3,1,IFERROR(INDEX(PD_TermStructure!$C$2:$C$241,MATCH(C460&amp;"|"&amp;L460,PD_TermStructure!$D$2:$D$241,0)),0))</f>
        <v>0.109872</v>
      </c>
      <c r="N460" s="22" t="n">
        <f aca="false">(1+E460/100)^(-(L460/12)/2)</f>
        <v>0.961094271344509</v>
      </c>
      <c r="O460" s="32" t="n">
        <f aca="false">IF(H460&lt;=0,0,M460*Assumptions!$B$3*H460*N460)</f>
        <v>60212.2359653876</v>
      </c>
      <c r="P460" s="25" t="n">
        <v>60212.24</v>
      </c>
      <c r="Q460" s="32" t="n">
        <f aca="false">O460-P460</f>
        <v>-0.00403461245150538</v>
      </c>
    </row>
    <row r="461" customFormat="false" ht="15" hidden="false" customHeight="false" outlineLevel="0" collapsed="false">
      <c r="A461" s="14" t="s">
        <v>631</v>
      </c>
      <c r="B461" s="14" t="n">
        <v>1</v>
      </c>
      <c r="C461" s="14" t="s">
        <v>154</v>
      </c>
      <c r="D461" s="14" t="n">
        <v>35</v>
      </c>
      <c r="E461" s="14" t="n">
        <v>13.35</v>
      </c>
      <c r="F461" s="31" t="n">
        <v>0.0192</v>
      </c>
      <c r="G461" s="31" t="n">
        <v>0.4298</v>
      </c>
      <c r="H461" s="25" t="n">
        <v>809209.5</v>
      </c>
      <c r="I461" s="25" t="n">
        <v>6677.73</v>
      </c>
      <c r="J461" s="32" t="n">
        <f aca="false">F461*G461*H461</f>
        <v>6677.72626752</v>
      </c>
      <c r="K461" s="32" t="n">
        <f aca="false">J461-I461</f>
        <v>-0.00373247999959858</v>
      </c>
      <c r="L461" s="28" t="n">
        <f aca="false">IF(B461=1,12,IF(B461=2,MIN(MAX(D461,1),60),6))</f>
        <v>12</v>
      </c>
      <c r="M461" s="11" t="n">
        <f aca="false">IF(B461=3,1,IFERROR(INDEX(PD_TermStructure!$C$2:$C$241,MATCH(C461&amp;"|"&amp;L461,PD_TermStructure!$D$2:$D$241,0)),0))</f>
        <v>0.109872</v>
      </c>
      <c r="N461" s="22" t="n">
        <f aca="false">(1+E461/100)^(-(L461/12)/2)</f>
        <v>0.939267375389045</v>
      </c>
      <c r="O461" s="32" t="n">
        <f aca="false">IF(H461&lt;=0,0,M461*Assumptions!$B$3*H461*N461)</f>
        <v>34633.1322766647</v>
      </c>
      <c r="P461" s="25" t="n">
        <v>34633.13</v>
      </c>
      <c r="Q461" s="32" t="n">
        <f aca="false">O461-P461</f>
        <v>0.00227666473074351</v>
      </c>
    </row>
    <row r="462" customFormat="false" ht="15" hidden="false" customHeight="false" outlineLevel="0" collapsed="false">
      <c r="A462" s="14" t="s">
        <v>632</v>
      </c>
      <c r="B462" s="14" t="n">
        <v>1</v>
      </c>
      <c r="C462" s="14" t="s">
        <v>154</v>
      </c>
      <c r="D462" s="14" t="n">
        <v>47</v>
      </c>
      <c r="E462" s="14" t="n">
        <v>11.5</v>
      </c>
      <c r="F462" s="31" t="n">
        <v>0.023</v>
      </c>
      <c r="G462" s="31" t="n">
        <v>0.3503</v>
      </c>
      <c r="H462" s="25" t="n">
        <v>1251465.08</v>
      </c>
      <c r="I462" s="25" t="n">
        <v>10082.93</v>
      </c>
      <c r="J462" s="32" t="n">
        <f aca="false">F462*G462*H462</f>
        <v>10082.929003052</v>
      </c>
      <c r="K462" s="32" t="n">
        <f aca="false">J462-I462</f>
        <v>-0.00099694799973804</v>
      </c>
      <c r="L462" s="28" t="n">
        <f aca="false">IF(B462=1,12,IF(B462=2,MIN(MAX(D462,1),60),6))</f>
        <v>12</v>
      </c>
      <c r="M462" s="11" t="n">
        <f aca="false">IF(B462=3,1,IFERROR(INDEX(PD_TermStructure!$C$2:$C$241,MATCH(C462&amp;"|"&amp;L462,PD_TermStructure!$D$2:$D$241,0)),0))</f>
        <v>0.109872</v>
      </c>
      <c r="N462" s="22" t="n">
        <f aca="false">(1+E462/100)^(-(L462/12)/2)</f>
        <v>0.947027447620757</v>
      </c>
      <c r="O462" s="32" t="n">
        <f aca="false">IF(H462&lt;=0,0,M462*Assumptions!$B$3*H462*N462)</f>
        <v>54003.618841603</v>
      </c>
      <c r="P462" s="25" t="n">
        <v>54003.62</v>
      </c>
      <c r="Q462" s="32" t="n">
        <f aca="false">O462-P462</f>
        <v>-0.00115839696081821</v>
      </c>
    </row>
    <row r="463" customFormat="false" ht="15" hidden="false" customHeight="false" outlineLevel="0" collapsed="false">
      <c r="A463" s="14" t="s">
        <v>633</v>
      </c>
      <c r="B463" s="14" t="n">
        <v>1</v>
      </c>
      <c r="C463" s="14" t="s">
        <v>154</v>
      </c>
      <c r="D463" s="14" t="n">
        <v>17</v>
      </c>
      <c r="E463" s="14" t="n">
        <v>10.13</v>
      </c>
      <c r="F463" s="31" t="n">
        <v>0.0146</v>
      </c>
      <c r="G463" s="31" t="n">
        <v>0.4605</v>
      </c>
      <c r="H463" s="25" t="n">
        <v>336272.88</v>
      </c>
      <c r="I463" s="25" t="n">
        <v>2260.86</v>
      </c>
      <c r="J463" s="32" t="n">
        <f aca="false">F463*G463*H463</f>
        <v>2260.863454104</v>
      </c>
      <c r="K463" s="32" t="n">
        <f aca="false">J463-I463</f>
        <v>0.00345410399995671</v>
      </c>
      <c r="L463" s="28" t="n">
        <f aca="false">IF(B463=1,12,IF(B463=2,MIN(MAX(D463,1),60),6))</f>
        <v>12</v>
      </c>
      <c r="M463" s="11" t="n">
        <f aca="false">IF(B463=3,1,IFERROR(INDEX(PD_TermStructure!$C$2:$C$241,MATCH(C463&amp;"|"&amp;L463,PD_TermStructure!$D$2:$D$241,0)),0))</f>
        <v>0.109872</v>
      </c>
      <c r="N463" s="22" t="n">
        <f aca="false">(1+E463/100)^(-(L463/12)/2)</f>
        <v>0.952899678428335</v>
      </c>
      <c r="O463" s="32" t="n">
        <f aca="false">IF(H463&lt;=0,0,M463*Assumptions!$B$3*H463*N463)</f>
        <v>14600.9322221915</v>
      </c>
      <c r="P463" s="25" t="n">
        <v>14600.93</v>
      </c>
      <c r="Q463" s="32" t="n">
        <f aca="false">O463-P463</f>
        <v>0.00222219154602499</v>
      </c>
    </row>
    <row r="464" customFormat="false" ht="15" hidden="false" customHeight="false" outlineLevel="0" collapsed="false">
      <c r="A464" s="14" t="s">
        <v>634</v>
      </c>
      <c r="B464" s="14" t="n">
        <v>1</v>
      </c>
      <c r="C464" s="14" t="s">
        <v>154</v>
      </c>
      <c r="D464" s="14" t="n">
        <v>18</v>
      </c>
      <c r="E464" s="14" t="n">
        <v>7.64</v>
      </c>
      <c r="F464" s="31" t="n">
        <v>0.0164</v>
      </c>
      <c r="G464" s="31" t="n">
        <v>0.4196</v>
      </c>
      <c r="H464" s="25" t="n">
        <v>676809.36</v>
      </c>
      <c r="I464" s="25" t="n">
        <v>4657.42</v>
      </c>
      <c r="J464" s="32" t="n">
        <f aca="false">F464*G464*H464</f>
        <v>4657.4230022784</v>
      </c>
      <c r="K464" s="32" t="n">
        <f aca="false">J464-I464</f>
        <v>0.00300227839943545</v>
      </c>
      <c r="L464" s="28" t="n">
        <f aca="false">IF(B464=1,12,IF(B464=2,MIN(MAX(D464,1),60),6))</f>
        <v>12</v>
      </c>
      <c r="M464" s="11" t="n">
        <f aca="false">IF(B464=3,1,IFERROR(INDEX(PD_TermStructure!$C$2:$C$241,MATCH(C464&amp;"|"&amp;L464,PD_TermStructure!$D$2:$D$241,0)),0))</f>
        <v>0.109872</v>
      </c>
      <c r="N464" s="22" t="n">
        <f aca="false">(1+E464/100)^(-(L464/12)/2)</f>
        <v>0.963858219943734</v>
      </c>
      <c r="O464" s="32" t="n">
        <f aca="false">IF(H464&lt;=0,0,M464*Assumptions!$B$3*H464*N464)</f>
        <v>29724.9458965664</v>
      </c>
      <c r="P464" s="25" t="n">
        <v>29724.95</v>
      </c>
      <c r="Q464" s="32" t="n">
        <f aca="false">O464-P464</f>
        <v>-0.0041034335954464</v>
      </c>
    </row>
    <row r="465" customFormat="false" ht="15" hidden="false" customHeight="false" outlineLevel="0" collapsed="false">
      <c r="A465" s="14" t="s">
        <v>635</v>
      </c>
      <c r="B465" s="14" t="n">
        <v>3</v>
      </c>
      <c r="C465" s="14" t="s">
        <v>182</v>
      </c>
      <c r="D465" s="14" t="n">
        <v>30</v>
      </c>
      <c r="E465" s="14" t="n">
        <v>12.25</v>
      </c>
      <c r="F465" s="31" t="n">
        <v>0.7516</v>
      </c>
      <c r="G465" s="31" t="n">
        <v>0.5278</v>
      </c>
      <c r="H465" s="25" t="n">
        <v>295513.26</v>
      </c>
      <c r="I465" s="25" t="n">
        <v>117228.48</v>
      </c>
      <c r="J465" s="32" t="n">
        <f aca="false">F465*G465*H465</f>
        <v>117228.479008805</v>
      </c>
      <c r="K465" s="32" t="n">
        <f aca="false">J465-I465</f>
        <v>-0.000991195178357884</v>
      </c>
      <c r="L465" s="28" t="n">
        <f aca="false">IF(B465=1,12,IF(B465=2,MIN(MAX(D465,1),60),6))</f>
        <v>6</v>
      </c>
      <c r="M465" s="11" t="n">
        <f aca="false">IF(B465=3,1,IFERROR(INDEX(PD_TermStructure!$C$2:$C$241,MATCH(C465&amp;"|"&amp;L465,PD_TermStructure!$D$2:$D$241,0)),0))</f>
        <v>1</v>
      </c>
      <c r="N465" s="22" t="n">
        <f aca="false">(1+E465/100)^(-(L465/12)/2)</f>
        <v>0.971523729183193</v>
      </c>
      <c r="O465" s="32" t="n">
        <f aca="false">IF(H465&lt;=0,0,M465*Assumptions!$B$3*H465*N465)</f>
        <v>119065.219413151</v>
      </c>
      <c r="P465" s="25" t="n">
        <v>119065.22</v>
      </c>
      <c r="Q465" s="32" t="n">
        <f aca="false">O465-P465</f>
        <v>-0.00058684911346063</v>
      </c>
    </row>
    <row r="466" customFormat="false" ht="15" hidden="false" customHeight="false" outlineLevel="0" collapsed="false">
      <c r="A466" s="14" t="s">
        <v>636</v>
      </c>
      <c r="B466" s="14" t="n">
        <v>2</v>
      </c>
      <c r="C466" s="14" t="s">
        <v>157</v>
      </c>
      <c r="D466" s="14" t="n">
        <v>17</v>
      </c>
      <c r="E466" s="14" t="n">
        <v>13.32</v>
      </c>
      <c r="F466" s="31" t="n">
        <v>0.0964</v>
      </c>
      <c r="G466" s="31" t="n">
        <v>0.5138</v>
      </c>
      <c r="H466" s="25" t="n">
        <v>104337.7</v>
      </c>
      <c r="I466" s="25" t="n">
        <v>5167.88</v>
      </c>
      <c r="J466" s="32" t="n">
        <f aca="false">F466*G466*H466</f>
        <v>5167.879669064</v>
      </c>
      <c r="K466" s="32" t="n">
        <f aca="false">J466-I466</f>
        <v>-0.000330935999954818</v>
      </c>
      <c r="L466" s="28" t="n">
        <f aca="false">IF(B466=1,12,IF(B466=2,MIN(MAX(D466,1),60),6))</f>
        <v>17</v>
      </c>
      <c r="M466" s="11" t="n">
        <f aca="false">IF(B466=3,1,IFERROR(INDEX(PD_TermStructure!$C$2:$C$241,MATCH(C466&amp;"|"&amp;L466,PD_TermStructure!$D$2:$D$241,0)),0))</f>
        <v>0.999602</v>
      </c>
      <c r="N466" s="22" t="n">
        <f aca="false">(1+E466/100)^(-(L466/12)/2)</f>
        <v>0.915235483296785</v>
      </c>
      <c r="O466" s="32" t="n">
        <f aca="false">IF(H466&lt;=0,0,M466*Assumptions!$B$3*H466*N466)</f>
        <v>39587.2884615344</v>
      </c>
      <c r="P466" s="25" t="n">
        <v>39587.29</v>
      </c>
      <c r="Q466" s="32" t="n">
        <f aca="false">O466-P466</f>
        <v>-0.00153846555622295</v>
      </c>
    </row>
    <row r="467" customFormat="false" ht="15" hidden="false" customHeight="false" outlineLevel="0" collapsed="false">
      <c r="A467" s="14" t="s">
        <v>637</v>
      </c>
      <c r="B467" s="14" t="n">
        <v>1</v>
      </c>
      <c r="C467" s="14" t="s">
        <v>154</v>
      </c>
      <c r="D467" s="14" t="n">
        <v>30</v>
      </c>
      <c r="E467" s="14" t="n">
        <v>10.36</v>
      </c>
      <c r="F467" s="31" t="n">
        <v>0.0243</v>
      </c>
      <c r="G467" s="31" t="n">
        <v>0.3546</v>
      </c>
      <c r="H467" s="25" t="n">
        <v>370415.13</v>
      </c>
      <c r="I467" s="25" t="n">
        <v>3191.79</v>
      </c>
      <c r="J467" s="32" t="n">
        <f aca="false">F467*G467*H467</f>
        <v>3191.7856838814</v>
      </c>
      <c r="K467" s="32" t="n">
        <f aca="false">J467-I467</f>
        <v>-0.00431611859949044</v>
      </c>
      <c r="L467" s="28" t="n">
        <f aca="false">IF(B467=1,12,IF(B467=2,MIN(MAX(D467,1),60),6))</f>
        <v>12</v>
      </c>
      <c r="M467" s="11" t="n">
        <f aca="false">IF(B467=3,1,IFERROR(INDEX(PD_TermStructure!$C$2:$C$241,MATCH(C467&amp;"|"&amp;L467,PD_TermStructure!$D$2:$D$241,0)),0))</f>
        <v>0.109872</v>
      </c>
      <c r="N467" s="22" t="n">
        <f aca="false">(1+E467/100)^(-(L467/12)/2)</f>
        <v>0.951906196931417</v>
      </c>
      <c r="O467" s="32" t="n">
        <f aca="false">IF(H467&lt;=0,0,M467*Assumptions!$B$3*H467*N467)</f>
        <v>16066.6166993398</v>
      </c>
      <c r="P467" s="25" t="n">
        <v>16066.62</v>
      </c>
      <c r="Q467" s="32" t="n">
        <f aca="false">O467-P467</f>
        <v>-0.00330066023889231</v>
      </c>
    </row>
    <row r="468" customFormat="false" ht="15" hidden="false" customHeight="false" outlineLevel="0" collapsed="false">
      <c r="A468" s="14" t="s">
        <v>638</v>
      </c>
      <c r="B468" s="14" t="n">
        <v>1</v>
      </c>
      <c r="C468" s="14" t="s">
        <v>154</v>
      </c>
      <c r="D468" s="14" t="n">
        <v>38</v>
      </c>
      <c r="E468" s="14" t="n">
        <v>10.33</v>
      </c>
      <c r="F468" s="31" t="n">
        <v>0.0192</v>
      </c>
      <c r="G468" s="31" t="n">
        <v>0.5327</v>
      </c>
      <c r="H468" s="25" t="n">
        <v>282608.66</v>
      </c>
      <c r="I468" s="25" t="n">
        <v>2890.48</v>
      </c>
      <c r="J468" s="32" t="n">
        <f aca="false">F468*G468*H468</f>
        <v>2890.4761570944</v>
      </c>
      <c r="K468" s="32" t="n">
        <f aca="false">J468-I468</f>
        <v>-0.00384290560077716</v>
      </c>
      <c r="L468" s="28" t="n">
        <f aca="false">IF(B468=1,12,IF(B468=2,MIN(MAX(D468,1),60),6))</f>
        <v>12</v>
      </c>
      <c r="M468" s="11" t="n">
        <f aca="false">IF(B468=3,1,IFERROR(INDEX(PD_TermStructure!$C$2:$C$241,MATCH(C468&amp;"|"&amp;L468,PD_TermStructure!$D$2:$D$241,0)),0))</f>
        <v>0.109872</v>
      </c>
      <c r="N468" s="22" t="n">
        <f aca="false">(1+E468/100)^(-(L468/12)/2)</f>
        <v>0.952035605274183</v>
      </c>
      <c r="O468" s="32" t="n">
        <f aca="false">IF(H468&lt;=0,0,M468*Assumptions!$B$3*H468*N468)</f>
        <v>12259.7105852145</v>
      </c>
      <c r="P468" s="25" t="n">
        <v>12259.71</v>
      </c>
      <c r="Q468" s="32" t="n">
        <f aca="false">O468-P468</f>
        <v>0.000585214540478773</v>
      </c>
    </row>
    <row r="469" customFormat="false" ht="15" hidden="false" customHeight="false" outlineLevel="0" collapsed="false">
      <c r="A469" s="14" t="s">
        <v>639</v>
      </c>
      <c r="B469" s="14" t="n">
        <v>1</v>
      </c>
      <c r="C469" s="14" t="s">
        <v>154</v>
      </c>
      <c r="D469" s="14" t="n">
        <v>17</v>
      </c>
      <c r="E469" s="14" t="n">
        <v>11.05</v>
      </c>
      <c r="F469" s="31" t="n">
        <v>0.0251</v>
      </c>
      <c r="G469" s="31" t="n">
        <v>0.4206</v>
      </c>
      <c r="H469" s="25" t="n">
        <v>275116.84</v>
      </c>
      <c r="I469" s="25" t="n">
        <v>2904.42</v>
      </c>
      <c r="J469" s="32" t="n">
        <f aca="false">F469*G469*H469</f>
        <v>2904.4249868904</v>
      </c>
      <c r="K469" s="32" t="n">
        <f aca="false">J469-I469</f>
        <v>0.00498689040023237</v>
      </c>
      <c r="L469" s="28" t="n">
        <f aca="false">IF(B469=1,12,IF(B469=2,MIN(MAX(D469,1),60),6))</f>
        <v>12</v>
      </c>
      <c r="M469" s="11" t="n">
        <f aca="false">IF(B469=3,1,IFERROR(INDEX(PD_TermStructure!$C$2:$C$241,MATCH(C469&amp;"|"&amp;L469,PD_TermStructure!$D$2:$D$241,0)),0))</f>
        <v>0.109872</v>
      </c>
      <c r="N469" s="22" t="n">
        <f aca="false">(1+E469/100)^(-(L469/12)/2)</f>
        <v>0.948944293623087</v>
      </c>
      <c r="O469" s="32" t="n">
        <f aca="false">IF(H469&lt;=0,0,M469*Assumptions!$B$3*H469*N469)</f>
        <v>11895.9588782341</v>
      </c>
      <c r="P469" s="25" t="n">
        <v>11895.96</v>
      </c>
      <c r="Q469" s="32" t="n">
        <f aca="false">O469-P469</f>
        <v>-0.00112176591392199</v>
      </c>
    </row>
    <row r="470" customFormat="false" ht="15" hidden="false" customHeight="false" outlineLevel="0" collapsed="false">
      <c r="A470" s="14" t="s">
        <v>640</v>
      </c>
      <c r="B470" s="14" t="n">
        <v>1</v>
      </c>
      <c r="C470" s="14" t="s">
        <v>154</v>
      </c>
      <c r="D470" s="14" t="n">
        <v>68</v>
      </c>
      <c r="E470" s="14" t="n">
        <v>10.96</v>
      </c>
      <c r="F470" s="31" t="n">
        <v>0.0235</v>
      </c>
      <c r="G470" s="31" t="n">
        <v>0.5096</v>
      </c>
      <c r="H470" s="25" t="n">
        <v>696071.14</v>
      </c>
      <c r="I470" s="25" t="n">
        <v>8335.87</v>
      </c>
      <c r="J470" s="32" t="n">
        <f aca="false">F470*G470*H470</f>
        <v>8335.869544184</v>
      </c>
      <c r="K470" s="32" t="n">
        <f aca="false">J470-I470</f>
        <v>-0.00045581599988509</v>
      </c>
      <c r="L470" s="28" t="n">
        <f aca="false">IF(B470=1,12,IF(B470=2,MIN(MAX(D470,1),60),6))</f>
        <v>12</v>
      </c>
      <c r="M470" s="11" t="n">
        <f aca="false">IF(B470=3,1,IFERROR(INDEX(PD_TermStructure!$C$2:$C$241,MATCH(C470&amp;"|"&amp;L470,PD_TermStructure!$D$2:$D$241,0)),0))</f>
        <v>0.109872</v>
      </c>
      <c r="N470" s="22" t="n">
        <f aca="false">(1+E470/100)^(-(L470/12)/2)</f>
        <v>0.949329061446553</v>
      </c>
      <c r="O470" s="32" t="n">
        <f aca="false">IF(H470&lt;=0,0,M470*Assumptions!$B$3*H470*N470)</f>
        <v>30110.0838458199</v>
      </c>
      <c r="P470" s="25" t="n">
        <v>30110.08</v>
      </c>
      <c r="Q470" s="32" t="n">
        <f aca="false">O470-P470</f>
        <v>0.00384581992329913</v>
      </c>
    </row>
    <row r="471" customFormat="false" ht="15" hidden="false" customHeight="false" outlineLevel="0" collapsed="false">
      <c r="A471" s="14" t="s">
        <v>641</v>
      </c>
      <c r="B471" s="14" t="n">
        <v>1</v>
      </c>
      <c r="C471" s="14" t="s">
        <v>154</v>
      </c>
      <c r="D471" s="14" t="n">
        <v>35</v>
      </c>
      <c r="E471" s="14" t="n">
        <v>7.71</v>
      </c>
      <c r="F471" s="31" t="n">
        <v>0.0162</v>
      </c>
      <c r="G471" s="31" t="n">
        <v>0.424</v>
      </c>
      <c r="H471" s="25" t="n">
        <v>757171.78</v>
      </c>
      <c r="I471" s="25" t="n">
        <v>5200.86</v>
      </c>
      <c r="J471" s="32" t="n">
        <f aca="false">F471*G471*H471</f>
        <v>5200.861522464</v>
      </c>
      <c r="K471" s="32" t="n">
        <f aca="false">J471-I471</f>
        <v>0.00152246400011791</v>
      </c>
      <c r="L471" s="28" t="n">
        <f aca="false">IF(B471=1,12,IF(B471=2,MIN(MAX(D471,1),60),6))</f>
        <v>12</v>
      </c>
      <c r="M471" s="11" t="n">
        <f aca="false">IF(B471=3,1,IFERROR(INDEX(PD_TermStructure!$C$2:$C$241,MATCH(C471&amp;"|"&amp;L471,PD_TermStructure!$D$2:$D$241,0)),0))</f>
        <v>0.109872</v>
      </c>
      <c r="N471" s="22" t="n">
        <f aca="false">(1+E471/100)^(-(L471/12)/2)</f>
        <v>0.96354496657336</v>
      </c>
      <c r="O471" s="32" t="n">
        <f aca="false">IF(H471&lt;=0,0,M471*Assumptions!$B$3*H471*N471)</f>
        <v>33243.593836324</v>
      </c>
      <c r="P471" s="25" t="n">
        <v>33243.59</v>
      </c>
      <c r="Q471" s="32" t="n">
        <f aca="false">O471-P471</f>
        <v>0.00383632396551548</v>
      </c>
    </row>
    <row r="472" customFormat="false" ht="15" hidden="false" customHeight="false" outlineLevel="0" collapsed="false">
      <c r="A472" s="14" t="s">
        <v>642</v>
      </c>
      <c r="B472" s="14" t="n">
        <v>3</v>
      </c>
      <c r="C472" s="14" t="s">
        <v>182</v>
      </c>
      <c r="D472" s="14" t="n">
        <v>18</v>
      </c>
      <c r="E472" s="14" t="n">
        <v>9.33</v>
      </c>
      <c r="F472" s="31" t="n">
        <v>0.8806</v>
      </c>
      <c r="G472" s="31" t="n">
        <v>0.4674</v>
      </c>
      <c r="H472" s="25" t="n">
        <v>475726.58</v>
      </c>
      <c r="I472" s="25" t="n">
        <v>195805.46</v>
      </c>
      <c r="J472" s="32" t="n">
        <f aca="false">F472*G472*H472</f>
        <v>195805.463835055</v>
      </c>
      <c r="K472" s="32" t="n">
        <f aca="false">J472-I472</f>
        <v>0.0038350552204065</v>
      </c>
      <c r="L472" s="28" t="n">
        <f aca="false">IF(B472=1,12,IF(B472=2,MIN(MAX(D472,1),60),6))</f>
        <v>6</v>
      </c>
      <c r="M472" s="11" t="n">
        <f aca="false">IF(B472=3,1,IFERROR(INDEX(PD_TermStructure!$C$2:$C$241,MATCH(C472&amp;"|"&amp;L472,PD_TermStructure!$D$2:$D$241,0)),0))</f>
        <v>1</v>
      </c>
      <c r="N472" s="22" t="n">
        <f aca="false">(1+E472/100)^(-(L472/12)/2)</f>
        <v>0.977946649191145</v>
      </c>
      <c r="O472" s="32" t="n">
        <f aca="false">IF(H472&lt;=0,0,M472*Assumptions!$B$3*H472*N472)</f>
        <v>192942.148943046</v>
      </c>
      <c r="P472" s="25" t="n">
        <v>192942.15</v>
      </c>
      <c r="Q472" s="32" t="n">
        <f aca="false">O472-P472</f>
        <v>-0.00105695449747145</v>
      </c>
    </row>
    <row r="473" customFormat="false" ht="15" hidden="false" customHeight="false" outlineLevel="0" collapsed="false">
      <c r="A473" s="14" t="s">
        <v>643</v>
      </c>
      <c r="B473" s="14" t="n">
        <v>1</v>
      </c>
      <c r="C473" s="14" t="s">
        <v>154</v>
      </c>
      <c r="D473" s="14" t="n">
        <v>44</v>
      </c>
      <c r="E473" s="14" t="n">
        <v>9.65</v>
      </c>
      <c r="F473" s="31" t="n">
        <v>0.0165</v>
      </c>
      <c r="G473" s="31" t="n">
        <v>0.4423</v>
      </c>
      <c r="H473" s="25" t="n">
        <v>1900693.52</v>
      </c>
      <c r="I473" s="25" t="n">
        <v>13871.17</v>
      </c>
      <c r="J473" s="32" t="n">
        <f aca="false">F473*G473*H473</f>
        <v>13871.166274284</v>
      </c>
      <c r="K473" s="32" t="n">
        <f aca="false">J473-I473</f>
        <v>-0.00372571599837102</v>
      </c>
      <c r="L473" s="28" t="n">
        <f aca="false">IF(B473=1,12,IF(B473=2,MIN(MAX(D473,1),60),6))</f>
        <v>12</v>
      </c>
      <c r="M473" s="11" t="n">
        <f aca="false">IF(B473=3,1,IFERROR(INDEX(PD_TermStructure!$C$2:$C$241,MATCH(C473&amp;"|"&amp;L473,PD_TermStructure!$D$2:$D$241,0)),0))</f>
        <v>0.109872</v>
      </c>
      <c r="N473" s="22" t="n">
        <f aca="false">(1+E473/100)^(-(L473/12)/2)</f>
        <v>0.954983090980342</v>
      </c>
      <c r="O473" s="32" t="n">
        <f aca="false">IF(H473&lt;=0,0,M473*Assumptions!$B$3*H473*N473)</f>
        <v>82708.3462576701</v>
      </c>
      <c r="P473" s="25" t="n">
        <v>82708.35</v>
      </c>
      <c r="Q473" s="32" t="n">
        <f aca="false">O473-P473</f>
        <v>-0.0037423298927024</v>
      </c>
    </row>
    <row r="474" customFormat="false" ht="15" hidden="false" customHeight="false" outlineLevel="0" collapsed="false">
      <c r="A474" s="14" t="s">
        <v>644</v>
      </c>
      <c r="B474" s="14" t="n">
        <v>1</v>
      </c>
      <c r="C474" s="14" t="s">
        <v>154</v>
      </c>
      <c r="D474" s="14" t="n">
        <v>15</v>
      </c>
      <c r="E474" s="14" t="n">
        <v>9.17</v>
      </c>
      <c r="F474" s="31" t="n">
        <v>0.0207</v>
      </c>
      <c r="G474" s="31" t="n">
        <v>0.5315</v>
      </c>
      <c r="H474" s="25" t="n">
        <v>1079072.58</v>
      </c>
      <c r="I474" s="25" t="n">
        <v>11872.01</v>
      </c>
      <c r="J474" s="32" t="n">
        <f aca="false">F474*G474*H474</f>
        <v>11872.010478789</v>
      </c>
      <c r="K474" s="32" t="n">
        <f aca="false">J474-I474</f>
        <v>0.000478788999316748</v>
      </c>
      <c r="L474" s="28" t="n">
        <f aca="false">IF(B474=1,12,IF(B474=2,MIN(MAX(D474,1),60),6))</f>
        <v>12</v>
      </c>
      <c r="M474" s="11" t="n">
        <f aca="false">IF(B474=3,1,IFERROR(INDEX(PD_TermStructure!$C$2:$C$241,MATCH(C474&amp;"|"&amp;L474,PD_TermStructure!$D$2:$D$241,0)),0))</f>
        <v>0.109872</v>
      </c>
      <c r="N474" s="22" t="n">
        <f aca="false">(1+E474/100)^(-(L474/12)/2)</f>
        <v>0.957080229033691</v>
      </c>
      <c r="O474" s="32" t="n">
        <f aca="false">IF(H474&lt;=0,0,M474*Assumptions!$B$3*H474*N474)</f>
        <v>47058.7690642055</v>
      </c>
      <c r="P474" s="25" t="n">
        <v>47058.77</v>
      </c>
      <c r="Q474" s="32" t="n">
        <f aca="false">O474-P474</f>
        <v>-0.000935794538236223</v>
      </c>
    </row>
    <row r="475" customFormat="false" ht="15" hidden="false" customHeight="false" outlineLevel="0" collapsed="false">
      <c r="A475" s="14" t="s">
        <v>645</v>
      </c>
      <c r="B475" s="14" t="n">
        <v>1</v>
      </c>
      <c r="C475" s="14" t="s">
        <v>154</v>
      </c>
      <c r="D475" s="14" t="n">
        <v>50</v>
      </c>
      <c r="E475" s="14" t="n">
        <v>10.41</v>
      </c>
      <c r="F475" s="31" t="n">
        <v>0.0205</v>
      </c>
      <c r="G475" s="31" t="n">
        <v>0.4519</v>
      </c>
      <c r="H475" s="25" t="n">
        <v>1580827.05</v>
      </c>
      <c r="I475" s="25" t="n">
        <v>14644.7</v>
      </c>
      <c r="J475" s="32" t="n">
        <f aca="false">F475*G475*H475</f>
        <v>14644.7027498475</v>
      </c>
      <c r="K475" s="32" t="n">
        <f aca="false">J475-I475</f>
        <v>0.00274984750285512</v>
      </c>
      <c r="L475" s="28" t="n">
        <f aca="false">IF(B475=1,12,IF(B475=2,MIN(MAX(D475,1),60),6))</f>
        <v>12</v>
      </c>
      <c r="M475" s="11" t="n">
        <f aca="false">IF(B475=3,1,IFERROR(INDEX(PD_TermStructure!$C$2:$C$241,MATCH(C475&amp;"|"&amp;L475,PD_TermStructure!$D$2:$D$241,0)),0))</f>
        <v>0.109872</v>
      </c>
      <c r="N475" s="22" t="n">
        <f aca="false">(1+E475/100)^(-(L475/12)/2)</f>
        <v>0.951690633578729</v>
      </c>
      <c r="O475" s="32" t="n">
        <f aca="false">IF(H475&lt;=0,0,M475*Assumptions!$B$3*H475*N475)</f>
        <v>68552.2501969204</v>
      </c>
      <c r="P475" s="25" t="n">
        <v>68552.25</v>
      </c>
      <c r="Q475" s="32" t="n">
        <f aca="false">O475-P475</f>
        <v>0.000196920431335457</v>
      </c>
    </row>
    <row r="476" customFormat="false" ht="15" hidden="false" customHeight="false" outlineLevel="0" collapsed="false">
      <c r="A476" s="14" t="s">
        <v>646</v>
      </c>
      <c r="B476" s="14" t="n">
        <v>1</v>
      </c>
      <c r="C476" s="14" t="s">
        <v>154</v>
      </c>
      <c r="D476" s="14" t="n">
        <v>23</v>
      </c>
      <c r="E476" s="14" t="n">
        <v>7.68</v>
      </c>
      <c r="F476" s="31" t="n">
        <v>0.0165</v>
      </c>
      <c r="G476" s="31" t="n">
        <v>0.4472</v>
      </c>
      <c r="H476" s="25" t="n">
        <v>318641.34</v>
      </c>
      <c r="I476" s="25" t="n">
        <v>2351.19</v>
      </c>
      <c r="J476" s="32" t="n">
        <f aca="false">F476*G476*H476</f>
        <v>2351.190719592</v>
      </c>
      <c r="K476" s="32" t="n">
        <f aca="false">J476-I476</f>
        <v>0.000719592000223202</v>
      </c>
      <c r="L476" s="28" t="n">
        <f aca="false">IF(B476=1,12,IF(B476=2,MIN(MAX(D476,1),60),6))</f>
        <v>12</v>
      </c>
      <c r="M476" s="11" t="n">
        <f aca="false">IF(B476=3,1,IFERROR(INDEX(PD_TermStructure!$C$2:$C$241,MATCH(C476&amp;"|"&amp;L476,PD_TermStructure!$D$2:$D$241,0)),0))</f>
        <v>0.109872</v>
      </c>
      <c r="N476" s="22" t="n">
        <f aca="false">(1+E476/100)^(-(L476/12)/2)</f>
        <v>0.963679180614625</v>
      </c>
      <c r="O476" s="32" t="n">
        <f aca="false">IF(H476&lt;=0,0,M476*Assumptions!$B$3*H476*N476)</f>
        <v>13991.882760984</v>
      </c>
      <c r="P476" s="25" t="n">
        <v>13991.88</v>
      </c>
      <c r="Q476" s="32" t="n">
        <f aca="false">O476-P476</f>
        <v>0.00276098396534508</v>
      </c>
    </row>
    <row r="477" customFormat="false" ht="15" hidden="false" customHeight="false" outlineLevel="0" collapsed="false">
      <c r="A477" s="14" t="s">
        <v>647</v>
      </c>
      <c r="B477" s="14" t="n">
        <v>1</v>
      </c>
      <c r="C477" s="14" t="s">
        <v>154</v>
      </c>
      <c r="D477" s="14" t="n">
        <v>58</v>
      </c>
      <c r="E477" s="14" t="n">
        <v>14.47</v>
      </c>
      <c r="F477" s="31" t="n">
        <v>0.0165</v>
      </c>
      <c r="G477" s="31" t="n">
        <v>0.6376</v>
      </c>
      <c r="H477" s="25" t="n">
        <v>699300.87</v>
      </c>
      <c r="I477" s="25" t="n">
        <v>7356.92</v>
      </c>
      <c r="J477" s="32" t="n">
        <f aca="false">F477*G477*H477</f>
        <v>7356.924872748</v>
      </c>
      <c r="K477" s="32" t="n">
        <f aca="false">J477-I477</f>
        <v>0.00487274799888837</v>
      </c>
      <c r="L477" s="28" t="n">
        <f aca="false">IF(B477=1,12,IF(B477=2,MIN(MAX(D477,1),60),6))</f>
        <v>12</v>
      </c>
      <c r="M477" s="11" t="n">
        <f aca="false">IF(B477=3,1,IFERROR(INDEX(PD_TermStructure!$C$2:$C$241,MATCH(C477&amp;"|"&amp;L477,PD_TermStructure!$D$2:$D$241,0)),0))</f>
        <v>0.109872</v>
      </c>
      <c r="N477" s="22" t="n">
        <f aca="false">(1+E477/100)^(-(L477/12)/2)</f>
        <v>0.934661079736375</v>
      </c>
      <c r="O477" s="32" t="n">
        <f aca="false">IF(H477&lt;=0,0,M477*Assumptions!$B$3*H477*N477)</f>
        <v>29782.4065885954</v>
      </c>
      <c r="P477" s="25" t="n">
        <v>29782.41</v>
      </c>
      <c r="Q477" s="32" t="n">
        <f aca="false">O477-P477</f>
        <v>-0.00341140461750911</v>
      </c>
    </row>
    <row r="478" customFormat="false" ht="15" hidden="false" customHeight="false" outlineLevel="0" collapsed="false">
      <c r="A478" s="14" t="s">
        <v>648</v>
      </c>
      <c r="B478" s="14" t="n">
        <v>1</v>
      </c>
      <c r="C478" s="14" t="s">
        <v>154</v>
      </c>
      <c r="D478" s="14" t="n">
        <v>27</v>
      </c>
      <c r="E478" s="14" t="n">
        <v>11.87</v>
      </c>
      <c r="F478" s="31" t="n">
        <v>0.0161</v>
      </c>
      <c r="G478" s="31" t="n">
        <v>0.4042</v>
      </c>
      <c r="H478" s="25" t="n">
        <v>628871.4</v>
      </c>
      <c r="I478" s="25" t="n">
        <v>4092.46</v>
      </c>
      <c r="J478" s="32" t="n">
        <f aca="false">F478*G478*H478</f>
        <v>4092.456100068</v>
      </c>
      <c r="K478" s="32" t="n">
        <f aca="false">J478-I478</f>
        <v>-0.00389993199996752</v>
      </c>
      <c r="L478" s="28" t="n">
        <f aca="false">IF(B478=1,12,IF(B478=2,MIN(MAX(D478,1),60),6))</f>
        <v>12</v>
      </c>
      <c r="M478" s="11" t="n">
        <f aca="false">IF(B478=3,1,IFERROR(INDEX(PD_TermStructure!$C$2:$C$241,MATCH(C478&amp;"|"&amp;L478,PD_TermStructure!$D$2:$D$241,0)),0))</f>
        <v>0.109872</v>
      </c>
      <c r="N478" s="22" t="n">
        <f aca="false">(1+E478/100)^(-(L478/12)/2)</f>
        <v>0.945460046328999</v>
      </c>
      <c r="O478" s="32" t="n">
        <f aca="false">IF(H478&lt;=0,0,M478*Assumptions!$B$3*H478*N478)</f>
        <v>27092.3443115323</v>
      </c>
      <c r="P478" s="25" t="n">
        <v>27092.34</v>
      </c>
      <c r="Q478" s="32" t="n">
        <f aca="false">O478-P478</f>
        <v>0.00431153229874326</v>
      </c>
    </row>
    <row r="479" customFormat="false" ht="15" hidden="false" customHeight="false" outlineLevel="0" collapsed="false">
      <c r="A479" s="14" t="s">
        <v>649</v>
      </c>
      <c r="B479" s="14" t="n">
        <v>1</v>
      </c>
      <c r="C479" s="14" t="s">
        <v>154</v>
      </c>
      <c r="D479" s="14" t="n">
        <v>52</v>
      </c>
      <c r="E479" s="14" t="n">
        <v>10.18</v>
      </c>
      <c r="F479" s="31" t="n">
        <v>0.0179</v>
      </c>
      <c r="G479" s="31" t="n">
        <v>0.4018</v>
      </c>
      <c r="H479" s="25" t="n">
        <v>555345.55</v>
      </c>
      <c r="I479" s="25" t="n">
        <v>3994.17</v>
      </c>
      <c r="J479" s="32" t="n">
        <f aca="false">F479*G479*H479</f>
        <v>3994.167371621</v>
      </c>
      <c r="K479" s="32" t="n">
        <f aca="false">J479-I479</f>
        <v>-0.0026283790002708</v>
      </c>
      <c r="L479" s="28" t="n">
        <f aca="false">IF(B479=1,12,IF(B479=2,MIN(MAX(D479,1),60),6))</f>
        <v>12</v>
      </c>
      <c r="M479" s="11" t="n">
        <f aca="false">IF(B479=3,1,IFERROR(INDEX(PD_TermStructure!$C$2:$C$241,MATCH(C479&amp;"|"&amp;L479,PD_TermStructure!$D$2:$D$241,0)),0))</f>
        <v>0.109872</v>
      </c>
      <c r="N479" s="22" t="n">
        <f aca="false">(1+E479/100)^(-(L479/12)/2)</f>
        <v>0.95268343958959</v>
      </c>
      <c r="O479" s="32" t="n">
        <f aca="false">IF(H479&lt;=0,0,M479*Assumptions!$B$3*H479*N479)</f>
        <v>24107.5720473032</v>
      </c>
      <c r="P479" s="25" t="n">
        <v>24107.57</v>
      </c>
      <c r="Q479" s="32" t="n">
        <f aca="false">O479-P479</f>
        <v>0.00204730319819646</v>
      </c>
    </row>
    <row r="480" customFormat="false" ht="15" hidden="false" customHeight="false" outlineLevel="0" collapsed="false">
      <c r="A480" s="14" t="s">
        <v>650</v>
      </c>
      <c r="B480" s="14" t="n">
        <v>1</v>
      </c>
      <c r="C480" s="14" t="s">
        <v>154</v>
      </c>
      <c r="D480" s="14" t="n">
        <v>31</v>
      </c>
      <c r="E480" s="14" t="n">
        <v>9.78</v>
      </c>
      <c r="F480" s="31" t="n">
        <v>0.017</v>
      </c>
      <c r="G480" s="31" t="n">
        <v>0.3559</v>
      </c>
      <c r="H480" s="25" t="n">
        <v>560050.88</v>
      </c>
      <c r="I480" s="25" t="n">
        <v>3388.48</v>
      </c>
      <c r="J480" s="32" t="n">
        <f aca="false">F480*G480*H480</f>
        <v>3388.475839264</v>
      </c>
      <c r="K480" s="32" t="n">
        <f aca="false">J480-I480</f>
        <v>-0.00416073599944866</v>
      </c>
      <c r="L480" s="28" t="n">
        <f aca="false">IF(B480=1,12,IF(B480=2,MIN(MAX(D480,1),60),6))</f>
        <v>12</v>
      </c>
      <c r="M480" s="11" t="n">
        <f aca="false">IF(B480=3,1,IFERROR(INDEX(PD_TermStructure!$C$2:$C$241,MATCH(C480&amp;"|"&amp;L480,PD_TermStructure!$D$2:$D$241,0)),0))</f>
        <v>0.109872</v>
      </c>
      <c r="N480" s="22" t="n">
        <f aca="false">(1+E480/100)^(-(L480/12)/2)</f>
        <v>0.954417484416557</v>
      </c>
      <c r="O480" s="32" t="n">
        <f aca="false">IF(H480&lt;=0,0,M480*Assumptions!$B$3*H480*N480)</f>
        <v>24356.0822461174</v>
      </c>
      <c r="P480" s="25" t="n">
        <v>24356.08</v>
      </c>
      <c r="Q480" s="32" t="n">
        <f aca="false">O480-P480</f>
        <v>0.00224611741214176</v>
      </c>
    </row>
    <row r="481" customFormat="false" ht="15" hidden="false" customHeight="false" outlineLevel="0" collapsed="false">
      <c r="A481" s="14" t="s">
        <v>651</v>
      </c>
      <c r="B481" s="14" t="n">
        <v>1</v>
      </c>
      <c r="C481" s="14" t="s">
        <v>154</v>
      </c>
      <c r="D481" s="14" t="n">
        <v>69</v>
      </c>
      <c r="E481" s="14" t="n">
        <v>13.87</v>
      </c>
      <c r="F481" s="31" t="n">
        <v>0.0206</v>
      </c>
      <c r="G481" s="31" t="n">
        <v>0.402</v>
      </c>
      <c r="H481" s="25" t="n">
        <v>412757.04</v>
      </c>
      <c r="I481" s="25" t="n">
        <v>3418.12</v>
      </c>
      <c r="J481" s="32" t="n">
        <f aca="false">F481*G481*H481</f>
        <v>3418.123599648</v>
      </c>
      <c r="K481" s="32" t="n">
        <f aca="false">J481-I481</f>
        <v>0.00359964800009038</v>
      </c>
      <c r="L481" s="28" t="n">
        <f aca="false">IF(B481=1,12,IF(B481=2,MIN(MAX(D481,1),60),6))</f>
        <v>12</v>
      </c>
      <c r="M481" s="11" t="n">
        <f aca="false">IF(B481=3,1,IFERROR(INDEX(PD_TermStructure!$C$2:$C$241,MATCH(C481&amp;"|"&amp;L481,PD_TermStructure!$D$2:$D$241,0)),0))</f>
        <v>0.109872</v>
      </c>
      <c r="N481" s="22" t="n">
        <f aca="false">(1+E481/100)^(-(L481/12)/2)</f>
        <v>0.937120286968167</v>
      </c>
      <c r="O481" s="32" t="n">
        <f aca="false">IF(H481&lt;=0,0,M481*Assumptions!$B$3*H481*N481)</f>
        <v>17625.0919016299</v>
      </c>
      <c r="P481" s="25" t="n">
        <v>17625.09</v>
      </c>
      <c r="Q481" s="32" t="n">
        <f aca="false">O481-P481</f>
        <v>0.00190162990475073</v>
      </c>
    </row>
    <row r="482" customFormat="false" ht="15" hidden="false" customHeight="false" outlineLevel="0" collapsed="false">
      <c r="A482" s="14" t="s">
        <v>652</v>
      </c>
      <c r="B482" s="14" t="n">
        <v>1</v>
      </c>
      <c r="C482" s="14" t="s">
        <v>154</v>
      </c>
      <c r="D482" s="14" t="n">
        <v>49</v>
      </c>
      <c r="E482" s="14" t="n">
        <v>12.17</v>
      </c>
      <c r="F482" s="31" t="n">
        <v>0.0153</v>
      </c>
      <c r="G482" s="31" t="n">
        <v>0.3699</v>
      </c>
      <c r="H482" s="25" t="n">
        <v>1086815.11</v>
      </c>
      <c r="I482" s="25" t="n">
        <v>6150.8</v>
      </c>
      <c r="J482" s="32" t="n">
        <f aca="false">F482*G482*H482</f>
        <v>6150.7975105917</v>
      </c>
      <c r="K482" s="32" t="n">
        <f aca="false">J482-I482</f>
        <v>-0.00248940829987987</v>
      </c>
      <c r="L482" s="28" t="n">
        <f aca="false">IF(B482=1,12,IF(B482=2,MIN(MAX(D482,1),60),6))</f>
        <v>12</v>
      </c>
      <c r="M482" s="11" t="n">
        <f aca="false">IF(B482=3,1,IFERROR(INDEX(PD_TermStructure!$C$2:$C$241,MATCH(C482&amp;"|"&amp;L482,PD_TermStructure!$D$2:$D$241,0)),0))</f>
        <v>0.109872</v>
      </c>
      <c r="N482" s="22" t="n">
        <f aca="false">(1+E482/100)^(-(L482/12)/2)</f>
        <v>0.944194877762347</v>
      </c>
      <c r="O482" s="32" t="n">
        <f aca="false">IF(H482&lt;=0,0,M482*Assumptions!$B$3*H482*N482)</f>
        <v>46758.3167925153</v>
      </c>
      <c r="P482" s="25" t="n">
        <v>46758.32</v>
      </c>
      <c r="Q482" s="32" t="n">
        <f aca="false">O482-P482</f>
        <v>-0.00320748471131083</v>
      </c>
    </row>
    <row r="483" customFormat="false" ht="15" hidden="false" customHeight="false" outlineLevel="0" collapsed="false">
      <c r="A483" s="14" t="s">
        <v>653</v>
      </c>
      <c r="B483" s="14" t="n">
        <v>3</v>
      </c>
      <c r="C483" s="14" t="s">
        <v>279</v>
      </c>
      <c r="D483" s="14" t="n">
        <v>1</v>
      </c>
      <c r="E483" s="14" t="n">
        <v>9.62</v>
      </c>
      <c r="F483" s="31" t="n">
        <v>0.6539</v>
      </c>
      <c r="G483" s="31" t="n">
        <v>0.3972</v>
      </c>
      <c r="H483" s="25" t="n">
        <v>35725.37</v>
      </c>
      <c r="I483" s="25" t="n">
        <v>9278.92</v>
      </c>
      <c r="J483" s="32" t="n">
        <f aca="false">F483*G483*H483</f>
        <v>9278.9174827596</v>
      </c>
      <c r="K483" s="32" t="n">
        <f aca="false">J483-I483</f>
        <v>-0.00251724039844703</v>
      </c>
      <c r="L483" s="28" t="n">
        <f aca="false">IF(B483=1,12,IF(B483=2,MIN(MAX(D483,1),60),6))</f>
        <v>6</v>
      </c>
      <c r="M483" s="11" t="n">
        <f aca="false">IF(B483=3,1,IFERROR(INDEX(PD_TermStructure!$C$2:$C$241,MATCH(C483&amp;"|"&amp;L483,PD_TermStructure!$D$2:$D$241,0)),0))</f>
        <v>1</v>
      </c>
      <c r="N483" s="22" t="n">
        <f aca="false">(1+E483/100)^(-(L483/12)/2)</f>
        <v>0.977299216430373</v>
      </c>
      <c r="O483" s="32" t="n">
        <f aca="false">IF(H483&lt;=0,0,M483*Assumptions!$B$3*H483*N483)</f>
        <v>14479.6750983434</v>
      </c>
      <c r="P483" s="25" t="n">
        <v>14479.68</v>
      </c>
      <c r="Q483" s="32" t="n">
        <f aca="false">O483-P483</f>
        <v>-0.00490165662449726</v>
      </c>
    </row>
    <row r="484" customFormat="false" ht="15" hidden="false" customHeight="false" outlineLevel="0" collapsed="false">
      <c r="A484" s="14" t="s">
        <v>654</v>
      </c>
      <c r="B484" s="14" t="n">
        <v>1</v>
      </c>
      <c r="C484" s="14" t="s">
        <v>154</v>
      </c>
      <c r="D484" s="14" t="n">
        <v>67</v>
      </c>
      <c r="E484" s="14" t="n">
        <v>8.45</v>
      </c>
      <c r="F484" s="31" t="n">
        <v>0.0233</v>
      </c>
      <c r="G484" s="31" t="n">
        <v>0.3811</v>
      </c>
      <c r="H484" s="25" t="n">
        <v>150565.87</v>
      </c>
      <c r="I484" s="25" t="n">
        <v>1336.97</v>
      </c>
      <c r="J484" s="32" t="n">
        <f aca="false">F484*G484*H484</f>
        <v>1336.9692162281</v>
      </c>
      <c r="K484" s="32" t="n">
        <f aca="false">J484-I484</f>
        <v>-0.000783771899932617</v>
      </c>
      <c r="L484" s="28" t="n">
        <f aca="false">IF(B484=1,12,IF(B484=2,MIN(MAX(D484,1),60),6))</f>
        <v>12</v>
      </c>
      <c r="M484" s="11" t="n">
        <f aca="false">IF(B484=3,1,IFERROR(INDEX(PD_TermStructure!$C$2:$C$241,MATCH(C484&amp;"|"&amp;L484,PD_TermStructure!$D$2:$D$241,0)),0))</f>
        <v>0.109872</v>
      </c>
      <c r="N484" s="22" t="n">
        <f aca="false">(1+E484/100)^(-(L484/12)/2)</f>
        <v>0.960252003192796</v>
      </c>
      <c r="O484" s="32" t="n">
        <f aca="false">IF(H484&lt;=0,0,M484*Assumptions!$B$3*H484*N484)</f>
        <v>6587.99591078211</v>
      </c>
      <c r="P484" s="25" t="n">
        <v>6588</v>
      </c>
      <c r="Q484" s="32" t="n">
        <f aca="false">O484-P484</f>
        <v>-0.00408921789221495</v>
      </c>
    </row>
    <row r="485" customFormat="false" ht="15" hidden="false" customHeight="false" outlineLevel="0" collapsed="false">
      <c r="A485" s="14" t="s">
        <v>655</v>
      </c>
      <c r="B485" s="14" t="n">
        <v>1</v>
      </c>
      <c r="C485" s="14" t="s">
        <v>155</v>
      </c>
      <c r="D485" s="14" t="n">
        <v>45</v>
      </c>
      <c r="E485" s="14" t="n">
        <v>8.55</v>
      </c>
      <c r="F485" s="31" t="n">
        <v>0.0239</v>
      </c>
      <c r="G485" s="31" t="n">
        <v>0.5829</v>
      </c>
      <c r="H485" s="25" t="n">
        <v>536511.34</v>
      </c>
      <c r="I485" s="25" t="n">
        <v>7474.31</v>
      </c>
      <c r="J485" s="32" t="n">
        <f aca="false">F485*G485*H485</f>
        <v>7474.3057960554</v>
      </c>
      <c r="K485" s="32" t="n">
        <f aca="false">J485-I485</f>
        <v>-0.00420394460070384</v>
      </c>
      <c r="L485" s="28" t="n">
        <f aca="false">IF(B485=1,12,IF(B485=2,MIN(MAX(D485,1),60),6))</f>
        <v>12</v>
      </c>
      <c r="M485" s="11" t="n">
        <f aca="false">IF(B485=3,1,IFERROR(INDEX(PD_TermStructure!$C$2:$C$241,MATCH(C485&amp;"|"&amp;L485,PD_TermStructure!$D$2:$D$241,0)),0))</f>
        <v>0.164153</v>
      </c>
      <c r="N485" s="22" t="n">
        <f aca="false">(1+E485/100)^(-(L485/12)/2)</f>
        <v>0.95980959266335</v>
      </c>
      <c r="O485" s="32" t="n">
        <f aca="false">IF(H485&lt;=0,0,M485*Assumptions!$B$3*H485*N485)</f>
        <v>35056.4025534845</v>
      </c>
      <c r="P485" s="25" t="n">
        <v>35056.4</v>
      </c>
      <c r="Q485" s="32" t="n">
        <f aca="false">O485-P485</f>
        <v>0.0025534844971844</v>
      </c>
    </row>
    <row r="486" customFormat="false" ht="15" hidden="false" customHeight="false" outlineLevel="0" collapsed="false">
      <c r="A486" s="14" t="s">
        <v>656</v>
      </c>
      <c r="B486" s="14" t="n">
        <v>1</v>
      </c>
      <c r="C486" s="14" t="s">
        <v>154</v>
      </c>
      <c r="D486" s="14" t="n">
        <v>27</v>
      </c>
      <c r="E486" s="14" t="n">
        <v>13.72</v>
      </c>
      <c r="F486" s="31" t="n">
        <v>0.0192</v>
      </c>
      <c r="G486" s="31" t="n">
        <v>0.6086</v>
      </c>
      <c r="H486" s="25" t="n">
        <v>417370.98</v>
      </c>
      <c r="I486" s="25" t="n">
        <v>4877.03</v>
      </c>
      <c r="J486" s="32" t="n">
        <f aca="false">F486*G486*H486</f>
        <v>4877.0299858176</v>
      </c>
      <c r="K486" s="32" t="n">
        <f aca="false">J486-I486</f>
        <v>-1.41824002639623E-005</v>
      </c>
      <c r="L486" s="28" t="n">
        <f aca="false">IF(B486=1,12,IF(B486=2,MIN(MAX(D486,1),60),6))</f>
        <v>12</v>
      </c>
      <c r="M486" s="11" t="n">
        <f aca="false">IF(B486=3,1,IFERROR(INDEX(PD_TermStructure!$C$2:$C$241,MATCH(C486&amp;"|"&amp;L486,PD_TermStructure!$D$2:$D$241,0)),0))</f>
        <v>0.109872</v>
      </c>
      <c r="N486" s="22" t="n">
        <f aca="false">(1+E486/100)^(-(L486/12)/2)</f>
        <v>0.937738127806421</v>
      </c>
      <c r="O486" s="32" t="n">
        <f aca="false">IF(H486&lt;=0,0,M486*Assumptions!$B$3*H486*N486)</f>
        <v>17833.8613033046</v>
      </c>
      <c r="P486" s="25" t="n">
        <v>17833.86</v>
      </c>
      <c r="Q486" s="32" t="n">
        <f aca="false">O486-P486</f>
        <v>0.00130330462343409</v>
      </c>
    </row>
    <row r="487" customFormat="false" ht="15" hidden="false" customHeight="false" outlineLevel="0" collapsed="false">
      <c r="A487" s="14" t="s">
        <v>657</v>
      </c>
      <c r="B487" s="14" t="n">
        <v>2</v>
      </c>
      <c r="C487" s="14" t="s">
        <v>156</v>
      </c>
      <c r="D487" s="14" t="n">
        <v>32</v>
      </c>
      <c r="E487" s="14" t="n">
        <v>7.73</v>
      </c>
      <c r="F487" s="31" t="n">
        <v>0.1021</v>
      </c>
      <c r="G487" s="31" t="n">
        <v>0.6025</v>
      </c>
      <c r="H487" s="25" t="n">
        <v>223215.11</v>
      </c>
      <c r="I487" s="25" t="n">
        <v>13731.13</v>
      </c>
      <c r="J487" s="32" t="n">
        <f aca="false">F487*G487*H487</f>
        <v>13731.1332954275</v>
      </c>
      <c r="K487" s="32" t="n">
        <f aca="false">J487-I487</f>
        <v>0.00329542749932443</v>
      </c>
      <c r="L487" s="28" t="n">
        <f aca="false">IF(B487=1,12,IF(B487=2,MIN(MAX(D487,1),60),6))</f>
        <v>32</v>
      </c>
      <c r="M487" s="11" t="n">
        <f aca="false">IF(B487=3,1,IFERROR(INDEX(PD_TermStructure!$C$2:$C$241,MATCH(C487&amp;"|"&amp;L487,PD_TermStructure!$D$2:$D$241,0)),0))</f>
        <v>0.999999</v>
      </c>
      <c r="N487" s="22" t="n">
        <f aca="false">(1+E487/100)^(-(L487/12)/2)</f>
        <v>0.905491657758676</v>
      </c>
      <c r="O487" s="32" t="n">
        <f aca="false">IF(H487&lt;=0,0,M487*Assumptions!$B$3*H487*N487)</f>
        <v>83822.7954261799</v>
      </c>
      <c r="P487" s="25" t="n">
        <v>83822.8</v>
      </c>
      <c r="Q487" s="32" t="n">
        <f aca="false">O487-P487</f>
        <v>-0.00457382007152773</v>
      </c>
    </row>
    <row r="488" customFormat="false" ht="15" hidden="false" customHeight="false" outlineLevel="0" collapsed="false">
      <c r="A488" s="14" t="s">
        <v>658</v>
      </c>
      <c r="B488" s="14" t="n">
        <v>1</v>
      </c>
      <c r="C488" s="14" t="s">
        <v>154</v>
      </c>
      <c r="D488" s="14" t="n">
        <v>34</v>
      </c>
      <c r="E488" s="14" t="n">
        <v>8.63</v>
      </c>
      <c r="F488" s="31" t="n">
        <v>0.0194</v>
      </c>
      <c r="G488" s="31" t="n">
        <v>0.424</v>
      </c>
      <c r="H488" s="25" t="n">
        <v>425007.76</v>
      </c>
      <c r="I488" s="25" t="n">
        <v>3495.94</v>
      </c>
      <c r="J488" s="32" t="n">
        <f aca="false">F488*G488*H488</f>
        <v>3495.943830656</v>
      </c>
      <c r="K488" s="32" t="n">
        <f aca="false">J488-I488</f>
        <v>0.003830655999991</v>
      </c>
      <c r="L488" s="28" t="n">
        <f aca="false">IF(B488=1,12,IF(B488=2,MIN(MAX(D488,1),60),6))</f>
        <v>12</v>
      </c>
      <c r="M488" s="11" t="n">
        <f aca="false">IF(B488=3,1,IFERROR(INDEX(PD_TermStructure!$C$2:$C$241,MATCH(C488&amp;"|"&amp;L488,PD_TermStructure!$D$2:$D$241,0)),0))</f>
        <v>0.109872</v>
      </c>
      <c r="N488" s="22" t="n">
        <f aca="false">(1+E488/100)^(-(L488/12)/2)</f>
        <v>0.95945610417234</v>
      </c>
      <c r="O488" s="32" t="n">
        <f aca="false">IF(H488&lt;=0,0,M488*Assumptions!$B$3*H488*N488)</f>
        <v>18580.7624526571</v>
      </c>
      <c r="P488" s="25" t="n">
        <v>18580.76</v>
      </c>
      <c r="Q488" s="32" t="n">
        <f aca="false">O488-P488</f>
        <v>0.00245265708144871</v>
      </c>
    </row>
    <row r="489" customFormat="false" ht="15" hidden="false" customHeight="false" outlineLevel="0" collapsed="false">
      <c r="A489" s="14" t="s">
        <v>659</v>
      </c>
      <c r="B489" s="14" t="n">
        <v>1</v>
      </c>
      <c r="C489" s="14" t="s">
        <v>154</v>
      </c>
      <c r="D489" s="14" t="n">
        <v>26</v>
      </c>
      <c r="E489" s="14" t="n">
        <v>7.62</v>
      </c>
      <c r="F489" s="31" t="n">
        <v>0.0241</v>
      </c>
      <c r="G489" s="31" t="n">
        <v>0.6169</v>
      </c>
      <c r="H489" s="25" t="n">
        <v>766928.02</v>
      </c>
      <c r="I489" s="25" t="n">
        <v>11402.14</v>
      </c>
      <c r="J489" s="32" t="n">
        <f aca="false">F489*G489*H489</f>
        <v>11402.1412824658</v>
      </c>
      <c r="K489" s="32" t="n">
        <f aca="false">J489-I489</f>
        <v>0.00128246580061386</v>
      </c>
      <c r="L489" s="28" t="n">
        <f aca="false">IF(B489=1,12,IF(B489=2,MIN(MAX(D489,1),60),6))</f>
        <v>12</v>
      </c>
      <c r="M489" s="11" t="n">
        <f aca="false">IF(B489=3,1,IFERROR(INDEX(PD_TermStructure!$C$2:$C$241,MATCH(C489&amp;"|"&amp;L489,PD_TermStructure!$D$2:$D$241,0)),0))</f>
        <v>0.109872</v>
      </c>
      <c r="N489" s="22" t="n">
        <f aca="false">(1+E489/100)^(-(L489/12)/2)</f>
        <v>0.963947777037534</v>
      </c>
      <c r="O489" s="32" t="n">
        <f aca="false">IF(H489&lt;=0,0,M489*Assumptions!$B$3*H489*N489)</f>
        <v>33686.0176983375</v>
      </c>
      <c r="P489" s="25" t="n">
        <v>33686.02</v>
      </c>
      <c r="Q489" s="32" t="n">
        <f aca="false">O489-P489</f>
        <v>-0.00230166249821195</v>
      </c>
    </row>
    <row r="490" customFormat="false" ht="15" hidden="false" customHeight="false" outlineLevel="0" collapsed="false">
      <c r="A490" s="14" t="s">
        <v>660</v>
      </c>
      <c r="B490" s="14" t="n">
        <v>1</v>
      </c>
      <c r="C490" s="14" t="s">
        <v>154</v>
      </c>
      <c r="D490" s="14" t="n">
        <v>22</v>
      </c>
      <c r="E490" s="14" t="n">
        <v>13.07</v>
      </c>
      <c r="F490" s="31" t="n">
        <v>0.0209</v>
      </c>
      <c r="G490" s="31" t="n">
        <v>0.4445</v>
      </c>
      <c r="H490" s="25" t="n">
        <v>547189.24</v>
      </c>
      <c r="I490" s="25" t="n">
        <v>5083.42</v>
      </c>
      <c r="J490" s="32" t="n">
        <f aca="false">F490*G490*H490</f>
        <v>5083.415399062</v>
      </c>
      <c r="K490" s="32" t="n">
        <f aca="false">J490-I490</f>
        <v>-0.00460093800029426</v>
      </c>
      <c r="L490" s="28" t="n">
        <f aca="false">IF(B490=1,12,IF(B490=2,MIN(MAX(D490,1),60),6))</f>
        <v>12</v>
      </c>
      <c r="M490" s="11" t="n">
        <f aca="false">IF(B490=3,1,IFERROR(INDEX(PD_TermStructure!$C$2:$C$241,MATCH(C490&amp;"|"&amp;L490,PD_TermStructure!$D$2:$D$241,0)),0))</f>
        <v>0.109872</v>
      </c>
      <c r="N490" s="22" t="n">
        <f aca="false">(1+E490/100)^(-(L490/12)/2)</f>
        <v>0.940429629966203</v>
      </c>
      <c r="O490" s="32" t="n">
        <f aca="false">IF(H490&lt;=0,0,M490*Assumptions!$B$3*H490*N490)</f>
        <v>23447.9788587942</v>
      </c>
      <c r="P490" s="25" t="n">
        <v>23447.98</v>
      </c>
      <c r="Q490" s="32" t="n">
        <f aca="false">O490-P490</f>
        <v>-0.00114120576472487</v>
      </c>
    </row>
    <row r="491" customFormat="false" ht="15" hidden="false" customHeight="false" outlineLevel="0" collapsed="false">
      <c r="A491" s="14" t="s">
        <v>661</v>
      </c>
      <c r="B491" s="14" t="n">
        <v>1</v>
      </c>
      <c r="C491" s="14" t="s">
        <v>154</v>
      </c>
      <c r="D491" s="14" t="n">
        <v>78</v>
      </c>
      <c r="E491" s="14" t="n">
        <v>11.2</v>
      </c>
      <c r="F491" s="31" t="n">
        <v>0.0254</v>
      </c>
      <c r="G491" s="31" t="n">
        <v>0.4955</v>
      </c>
      <c r="H491" s="25" t="n">
        <v>2272331.62</v>
      </c>
      <c r="I491" s="25" t="n">
        <v>28598.88</v>
      </c>
      <c r="J491" s="32" t="n">
        <f aca="false">F491*G491*H491</f>
        <v>28598.884069834</v>
      </c>
      <c r="K491" s="32" t="n">
        <f aca="false">J491-I491</f>
        <v>0.00406983400171157</v>
      </c>
      <c r="L491" s="28" t="n">
        <f aca="false">IF(B491=1,12,IF(B491=2,MIN(MAX(D491,1),60),6))</f>
        <v>12</v>
      </c>
      <c r="M491" s="11" t="n">
        <f aca="false">IF(B491=3,1,IFERROR(INDEX(PD_TermStructure!$C$2:$C$241,MATCH(C491&amp;"|"&amp;L491,PD_TermStructure!$D$2:$D$241,0)),0))</f>
        <v>0.109872</v>
      </c>
      <c r="N491" s="22" t="n">
        <f aca="false">(1+E491/100)^(-(L491/12)/2)</f>
        <v>0.948304052263602</v>
      </c>
      <c r="O491" s="32" t="n">
        <f aca="false">IF(H491&lt;=0,0,M491*Assumptions!$B$3*H491*N491)</f>
        <v>98188.5574027426</v>
      </c>
      <c r="P491" s="25" t="n">
        <v>98188.56</v>
      </c>
      <c r="Q491" s="32" t="n">
        <f aca="false">O491-P491</f>
        <v>-0.00259725737851113</v>
      </c>
    </row>
    <row r="492" customFormat="false" ht="15" hidden="false" customHeight="false" outlineLevel="0" collapsed="false">
      <c r="A492" s="14" t="s">
        <v>662</v>
      </c>
      <c r="B492" s="14" t="n">
        <v>1</v>
      </c>
      <c r="C492" s="14" t="s">
        <v>154</v>
      </c>
      <c r="D492" s="14" t="n">
        <v>25</v>
      </c>
      <c r="E492" s="14" t="n">
        <v>7.97</v>
      </c>
      <c r="F492" s="31" t="n">
        <v>0.0219</v>
      </c>
      <c r="G492" s="31" t="n">
        <v>0.5478</v>
      </c>
      <c r="H492" s="25" t="n">
        <v>662940.21</v>
      </c>
      <c r="I492" s="25" t="n">
        <v>7953.17</v>
      </c>
      <c r="J492" s="32" t="n">
        <f aca="false">F492*G492*H492</f>
        <v>7953.1743701322</v>
      </c>
      <c r="K492" s="32" t="n">
        <f aca="false">J492-I492</f>
        <v>0.00437013219834626</v>
      </c>
      <c r="L492" s="28" t="n">
        <f aca="false">IF(B492=1,12,IF(B492=2,MIN(MAX(D492,1),60),6))</f>
        <v>12</v>
      </c>
      <c r="M492" s="11" t="n">
        <f aca="false">IF(B492=3,1,IFERROR(INDEX(PD_TermStructure!$C$2:$C$241,MATCH(C492&amp;"|"&amp;L492,PD_TermStructure!$D$2:$D$241,0)),0))</f>
        <v>0.109872</v>
      </c>
      <c r="N492" s="22" t="n">
        <f aca="false">(1+E492/100)^(-(L492/12)/2)</f>
        <v>0.962384122394364</v>
      </c>
      <c r="O492" s="32" t="n">
        <f aca="false">IF(H492&lt;=0,0,M492*Assumptions!$B$3*H492*N492)</f>
        <v>29071.2945904063</v>
      </c>
      <c r="P492" s="25" t="n">
        <v>29071.29</v>
      </c>
      <c r="Q492" s="32" t="n">
        <f aca="false">O492-P492</f>
        <v>0.00459040631903918</v>
      </c>
    </row>
    <row r="493" customFormat="false" ht="15" hidden="false" customHeight="false" outlineLevel="0" collapsed="false">
      <c r="A493" s="14" t="s">
        <v>663</v>
      </c>
      <c r="B493" s="14" t="n">
        <v>1</v>
      </c>
      <c r="C493" s="14" t="s">
        <v>154</v>
      </c>
      <c r="D493" s="14" t="n">
        <v>32</v>
      </c>
      <c r="E493" s="14" t="n">
        <v>12.62</v>
      </c>
      <c r="F493" s="31" t="n">
        <v>0.0257</v>
      </c>
      <c r="G493" s="31" t="n">
        <v>0.4621</v>
      </c>
      <c r="H493" s="25" t="n">
        <v>290205.39</v>
      </c>
      <c r="I493" s="25" t="n">
        <v>3446.47</v>
      </c>
      <c r="J493" s="32" t="n">
        <f aca="false">F493*G493*H493</f>
        <v>3446.4705054783</v>
      </c>
      <c r="K493" s="32" t="n">
        <f aca="false">J493-I493</f>
        <v>0.000505478300965478</v>
      </c>
      <c r="L493" s="28" t="n">
        <f aca="false">IF(B493=1,12,IF(B493=2,MIN(MAX(D493,1),60),6))</f>
        <v>12</v>
      </c>
      <c r="M493" s="11" t="n">
        <f aca="false">IF(B493=3,1,IFERROR(INDEX(PD_TermStructure!$C$2:$C$241,MATCH(C493&amp;"|"&amp;L493,PD_TermStructure!$D$2:$D$241,0)),0))</f>
        <v>0.109872</v>
      </c>
      <c r="N493" s="22" t="n">
        <f aca="false">(1+E493/100)^(-(L493/12)/2)</f>
        <v>0.942306612001175</v>
      </c>
      <c r="O493" s="32" t="n">
        <f aca="false">IF(H493&lt;=0,0,M493*Assumptions!$B$3*H493*N493)</f>
        <v>12460.6091567698</v>
      </c>
      <c r="P493" s="25" t="n">
        <v>12460.61</v>
      </c>
      <c r="Q493" s="32" t="n">
        <f aca="false">O493-P493</f>
        <v>-0.000843230243845028</v>
      </c>
    </row>
    <row r="494" customFormat="false" ht="15" hidden="false" customHeight="false" outlineLevel="0" collapsed="false">
      <c r="A494" s="14" t="s">
        <v>664</v>
      </c>
      <c r="B494" s="14" t="n">
        <v>1</v>
      </c>
      <c r="C494" s="14" t="s">
        <v>154</v>
      </c>
      <c r="D494" s="14" t="n">
        <v>12</v>
      </c>
      <c r="E494" s="14" t="n">
        <v>14.04</v>
      </c>
      <c r="F494" s="31" t="n">
        <v>0.0211</v>
      </c>
      <c r="G494" s="31" t="n">
        <v>0.4188</v>
      </c>
      <c r="H494" s="25" t="n">
        <v>157543.04</v>
      </c>
      <c r="I494" s="25" t="n">
        <v>1392.16</v>
      </c>
      <c r="J494" s="32" t="n">
        <f aca="false">F494*G494*H494</f>
        <v>1392.1574307072</v>
      </c>
      <c r="K494" s="32" t="n">
        <f aca="false">J494-I494</f>
        <v>-0.00256929279976248</v>
      </c>
      <c r="L494" s="28" t="n">
        <f aca="false">IF(B494=1,12,IF(B494=2,MIN(MAX(D494,1),60),6))</f>
        <v>12</v>
      </c>
      <c r="M494" s="11" t="n">
        <f aca="false">IF(B494=3,1,IFERROR(INDEX(PD_TermStructure!$C$2:$C$241,MATCH(C494&amp;"|"&amp;L494,PD_TermStructure!$D$2:$D$241,0)),0))</f>
        <v>0.109872</v>
      </c>
      <c r="N494" s="22" t="n">
        <f aca="false">(1+E494/100)^(-(L494/12)/2)</f>
        <v>0.936421541509119</v>
      </c>
      <c r="O494" s="32" t="n">
        <f aca="false">IF(H494&lt;=0,0,M494*Assumptions!$B$3*H494*N494)</f>
        <v>6722.21159064183</v>
      </c>
      <c r="P494" s="25" t="n">
        <v>6722.21</v>
      </c>
      <c r="Q494" s="32" t="n">
        <f aca="false">O494-P494</f>
        <v>0.00159064182662405</v>
      </c>
    </row>
    <row r="495" customFormat="false" ht="15" hidden="false" customHeight="false" outlineLevel="0" collapsed="false">
      <c r="A495" s="14" t="s">
        <v>665</v>
      </c>
      <c r="B495" s="14" t="n">
        <v>1</v>
      </c>
      <c r="C495" s="14" t="s">
        <v>154</v>
      </c>
      <c r="D495" s="14" t="n">
        <v>72</v>
      </c>
      <c r="E495" s="14" t="n">
        <v>11.41</v>
      </c>
      <c r="F495" s="31" t="n">
        <v>0.0226</v>
      </c>
      <c r="G495" s="31" t="n">
        <v>0.6307</v>
      </c>
      <c r="H495" s="25" t="n">
        <v>1924196.41</v>
      </c>
      <c r="I495" s="25" t="n">
        <v>27427.15</v>
      </c>
      <c r="J495" s="32" t="n">
        <f aca="false">F495*G495*H495</f>
        <v>27427.1492727862</v>
      </c>
      <c r="K495" s="32" t="n">
        <f aca="false">J495-I495</f>
        <v>-0.000727213802747428</v>
      </c>
      <c r="L495" s="28" t="n">
        <f aca="false">IF(B495=1,12,IF(B495=2,MIN(MAX(D495,1),60),6))</f>
        <v>12</v>
      </c>
      <c r="M495" s="11" t="n">
        <f aca="false">IF(B495=3,1,IFERROR(INDEX(PD_TermStructure!$C$2:$C$241,MATCH(C495&amp;"|"&amp;L495,PD_TermStructure!$D$2:$D$241,0)),0))</f>
        <v>0.109872</v>
      </c>
      <c r="N495" s="22" t="n">
        <f aca="false">(1+E495/100)^(-(L495/12)/2)</f>
        <v>0.947409887545196</v>
      </c>
      <c r="O495" s="32" t="n">
        <f aca="false">IF(H495&lt;=0,0,M495*Assumptions!$B$3*H495*N495)</f>
        <v>83067.0665773757</v>
      </c>
      <c r="P495" s="25" t="n">
        <v>83067.07</v>
      </c>
      <c r="Q495" s="32" t="n">
        <f aca="false">O495-P495</f>
        <v>-0.00342262431513518</v>
      </c>
    </row>
    <row r="496" customFormat="false" ht="15" hidden="false" customHeight="false" outlineLevel="0" collapsed="false">
      <c r="A496" s="14" t="s">
        <v>666</v>
      </c>
      <c r="B496" s="14" t="n">
        <v>2</v>
      </c>
      <c r="C496" s="14" t="s">
        <v>156</v>
      </c>
      <c r="D496" s="14" t="n">
        <v>13</v>
      </c>
      <c r="E496" s="14" t="n">
        <v>11.02</v>
      </c>
      <c r="F496" s="31" t="n">
        <v>0.0893</v>
      </c>
      <c r="G496" s="31" t="n">
        <v>0.6496</v>
      </c>
      <c r="H496" s="25" t="n">
        <v>305169.04</v>
      </c>
      <c r="I496" s="25" t="n">
        <v>17702.64</v>
      </c>
      <c r="J496" s="32" t="n">
        <f aca="false">F496*G496*H496</f>
        <v>17702.6362886912</v>
      </c>
      <c r="K496" s="32" t="n">
        <f aca="false">J496-I496</f>
        <v>-0.00371130880012061</v>
      </c>
      <c r="L496" s="28" t="n">
        <f aca="false">IF(B496=1,12,IF(B496=2,MIN(MAX(D496,1),60),6))</f>
        <v>13</v>
      </c>
      <c r="M496" s="11" t="n">
        <f aca="false">IF(B496=3,1,IFERROR(INDEX(PD_TermStructure!$C$2:$C$241,MATCH(C496&amp;"|"&amp;L496,PD_TermStructure!$D$2:$D$241,0)),0))</f>
        <v>0.992223</v>
      </c>
      <c r="N496" s="22" t="n">
        <f aca="false">(1+E496/100)^(-(L496/12)/2)</f>
        <v>0.944947479350228</v>
      </c>
      <c r="O496" s="32" t="n">
        <f aca="false">IF(H496&lt;=0,0,M496*Assumptions!$B$3*H496*N496)</f>
        <v>118662.081817952</v>
      </c>
      <c r="P496" s="25" t="n">
        <v>118662.08</v>
      </c>
      <c r="Q496" s="32" t="n">
        <f aca="false">O496-P496</f>
        <v>0.00181795151729602</v>
      </c>
    </row>
    <row r="497" customFormat="false" ht="15" hidden="false" customHeight="false" outlineLevel="0" collapsed="false">
      <c r="A497" s="14" t="s">
        <v>667</v>
      </c>
      <c r="B497" s="14" t="n">
        <v>2</v>
      </c>
      <c r="C497" s="14" t="s">
        <v>156</v>
      </c>
      <c r="D497" s="14" t="n">
        <v>28</v>
      </c>
      <c r="E497" s="14" t="n">
        <v>8.81</v>
      </c>
      <c r="F497" s="31" t="n">
        <v>0.1342</v>
      </c>
      <c r="G497" s="31" t="n">
        <v>0.4321</v>
      </c>
      <c r="H497" s="25" t="n">
        <v>1138623.04</v>
      </c>
      <c r="I497" s="25" t="n">
        <v>66026.27</v>
      </c>
      <c r="J497" s="32" t="n">
        <f aca="false">F497*G497*H497</f>
        <v>66026.2678913728</v>
      </c>
      <c r="K497" s="32" t="n">
        <f aca="false">J497-I497</f>
        <v>-0.00210862720268779</v>
      </c>
      <c r="L497" s="28" t="n">
        <f aca="false">IF(B497=1,12,IF(B497=2,MIN(MAX(D497,1),60),6))</f>
        <v>28</v>
      </c>
      <c r="M497" s="11" t="n">
        <f aca="false">IF(B497=3,1,IFERROR(INDEX(PD_TermStructure!$C$2:$C$241,MATCH(C497&amp;"|"&amp;L497,PD_TermStructure!$D$2:$D$241,0)),0))</f>
        <v>0.999992</v>
      </c>
      <c r="N497" s="22" t="n">
        <f aca="false">(1+E497/100)^(-(L497/12)/2)</f>
        <v>0.906190951437421</v>
      </c>
      <c r="O497" s="32" t="n">
        <f aca="false">IF(H497&lt;=0,0,M497*Assumptions!$B$3*H497*N497)</f>
        <v>427908.334615523</v>
      </c>
      <c r="P497" s="25" t="n">
        <v>427908.33</v>
      </c>
      <c r="Q497" s="32" t="n">
        <f aca="false">O497-P497</f>
        <v>0.00461552280467004</v>
      </c>
    </row>
    <row r="498" customFormat="false" ht="15" hidden="false" customHeight="false" outlineLevel="0" collapsed="false">
      <c r="A498" s="14" t="s">
        <v>668</v>
      </c>
      <c r="B498" s="14" t="n">
        <v>1</v>
      </c>
      <c r="C498" s="14" t="s">
        <v>154</v>
      </c>
      <c r="D498" s="14" t="n">
        <v>0</v>
      </c>
      <c r="E498" s="14" t="n">
        <v>11.33</v>
      </c>
      <c r="F498" s="31" t="n">
        <v>0.0254</v>
      </c>
      <c r="G498" s="31" t="n">
        <v>0.5138</v>
      </c>
      <c r="H498" s="25" t="n">
        <v>0</v>
      </c>
      <c r="I498" s="25" t="n">
        <v>0</v>
      </c>
      <c r="J498" s="32" t="n">
        <f aca="false">F498*G498*H498</f>
        <v>0</v>
      </c>
      <c r="K498" s="32" t="n">
        <f aca="false">J498-I498</f>
        <v>0</v>
      </c>
      <c r="L498" s="28" t="n">
        <f aca="false">IF(B498=1,12,IF(B498=2,MIN(MAX(D498,1),60),6))</f>
        <v>12</v>
      </c>
      <c r="M498" s="11" t="n">
        <f aca="false">IF(B498=3,1,IFERROR(INDEX(PD_TermStructure!$C$2:$C$241,MATCH(C498&amp;"|"&amp;L498,PD_TermStructure!$D$2:$D$241,0)),0))</f>
        <v>0.109872</v>
      </c>
      <c r="N498" s="22" t="n">
        <f aca="false">(1+E498/100)^(-(L498/12)/2)</f>
        <v>0.947750223393639</v>
      </c>
      <c r="O498" s="32" t="n">
        <f aca="false">IF(H498&lt;=0,0,M498*Assumptions!$B$3*H498*N498)</f>
        <v>0</v>
      </c>
      <c r="P498" s="25" t="n">
        <v>0</v>
      </c>
      <c r="Q498" s="32" t="n">
        <f aca="false">O498-P498</f>
        <v>0</v>
      </c>
    </row>
    <row r="499" customFormat="false" ht="15" hidden="false" customHeight="false" outlineLevel="0" collapsed="false">
      <c r="A499" s="14" t="s">
        <v>669</v>
      </c>
      <c r="B499" s="14" t="n">
        <v>3</v>
      </c>
      <c r="C499" s="14" t="s">
        <v>279</v>
      </c>
      <c r="D499" s="14" t="n">
        <v>27</v>
      </c>
      <c r="E499" s="14" t="n">
        <v>9.79</v>
      </c>
      <c r="F499" s="31" t="n">
        <v>0.7108</v>
      </c>
      <c r="G499" s="31" t="n">
        <v>0.5288</v>
      </c>
      <c r="H499" s="25" t="n">
        <v>1507790.21</v>
      </c>
      <c r="I499" s="25" t="n">
        <v>566734.67</v>
      </c>
      <c r="J499" s="32" t="n">
        <f aca="false">F499*G499*H499</f>
        <v>566734.674334519</v>
      </c>
      <c r="K499" s="32" t="n">
        <f aca="false">J499-I499</f>
        <v>0.00433451845310628</v>
      </c>
      <c r="L499" s="28" t="n">
        <f aca="false">IF(B499=1,12,IF(B499=2,MIN(MAX(D499,1),60),6))</f>
        <v>6</v>
      </c>
      <c r="M499" s="11" t="n">
        <f aca="false">IF(B499=3,1,IFERROR(INDEX(PD_TermStructure!$C$2:$C$241,MATCH(C499&amp;"|"&amp;L499,PD_TermStructure!$D$2:$D$241,0)),0))</f>
        <v>1</v>
      </c>
      <c r="N499" s="22" t="n">
        <f aca="false">(1+E499/100)^(-(L499/12)/2)</f>
        <v>0.976920681444544</v>
      </c>
      <c r="O499" s="32" t="n">
        <f aca="false">IF(H499&lt;=0,0,M499*Assumptions!$B$3*H499*N499)</f>
        <v>610878.378573482</v>
      </c>
      <c r="P499" s="25" t="n">
        <v>610878.38</v>
      </c>
      <c r="Q499" s="32" t="n">
        <f aca="false">O499-P499</f>
        <v>-0.00142651773057878</v>
      </c>
    </row>
    <row r="500" customFormat="false" ht="15" hidden="false" customHeight="false" outlineLevel="0" collapsed="false">
      <c r="A500" s="14" t="s">
        <v>670</v>
      </c>
      <c r="B500" s="14" t="n">
        <v>1</v>
      </c>
      <c r="C500" s="14" t="s">
        <v>154</v>
      </c>
      <c r="D500" s="14" t="n">
        <v>70</v>
      </c>
      <c r="E500" s="14" t="n">
        <v>10.9</v>
      </c>
      <c r="F500" s="31" t="n">
        <v>0.0146</v>
      </c>
      <c r="G500" s="31" t="n">
        <v>0.5868</v>
      </c>
      <c r="H500" s="25" t="n">
        <v>1219584.14</v>
      </c>
      <c r="I500" s="25" t="n">
        <v>10448.52</v>
      </c>
      <c r="J500" s="32" t="n">
        <f aca="false">F500*G500*H500</f>
        <v>10448.5188109392</v>
      </c>
      <c r="K500" s="32" t="n">
        <f aca="false">J500-I500</f>
        <v>-0.00118906080206216</v>
      </c>
      <c r="L500" s="28" t="n">
        <f aca="false">IF(B500=1,12,IF(B500=2,MIN(MAX(D500,1),60),6))</f>
        <v>12</v>
      </c>
      <c r="M500" s="11" t="n">
        <f aca="false">IF(B500=3,1,IFERROR(INDEX(PD_TermStructure!$C$2:$C$241,MATCH(C500&amp;"|"&amp;L500,PD_TermStructure!$D$2:$D$241,0)),0))</f>
        <v>0.109872</v>
      </c>
      <c r="N500" s="22" t="n">
        <f aca="false">(1+E500/100)^(-(L500/12)/2)</f>
        <v>0.949585833500506</v>
      </c>
      <c r="O500" s="32" t="n">
        <f aca="false">IF(H500&lt;=0,0,M500*Assumptions!$B$3*H500*N500)</f>
        <v>52770.0561240227</v>
      </c>
      <c r="P500" s="25" t="n">
        <v>52770.06</v>
      </c>
      <c r="Q500" s="32" t="n">
        <f aca="false">O500-P500</f>
        <v>-0.00387597727967659</v>
      </c>
    </row>
    <row r="501" customFormat="false" ht="15" hidden="false" customHeight="false" outlineLevel="0" collapsed="false">
      <c r="A501" s="14" t="s">
        <v>671</v>
      </c>
      <c r="B501" s="14" t="n">
        <v>2</v>
      </c>
      <c r="C501" s="14" t="s">
        <v>156</v>
      </c>
      <c r="D501" s="14" t="n">
        <v>25</v>
      </c>
      <c r="E501" s="14" t="n">
        <v>12.97</v>
      </c>
      <c r="F501" s="31" t="n">
        <v>0.1005</v>
      </c>
      <c r="G501" s="31" t="n">
        <v>0.3661</v>
      </c>
      <c r="H501" s="25" t="n">
        <v>1482493.06</v>
      </c>
      <c r="I501" s="25" t="n">
        <v>54545.44</v>
      </c>
      <c r="J501" s="32" t="n">
        <f aca="false">F501*G501*H501</f>
        <v>54545.441281233</v>
      </c>
      <c r="K501" s="32" t="n">
        <f aca="false">J501-I501</f>
        <v>0.00128123300237348</v>
      </c>
      <c r="L501" s="28" t="n">
        <f aca="false">IF(B501=1,12,IF(B501=2,MIN(MAX(D501,1),60),6))</f>
        <v>25</v>
      </c>
      <c r="M501" s="11" t="n">
        <f aca="false">IF(B501=3,1,IFERROR(INDEX(PD_TermStructure!$C$2:$C$241,MATCH(C501&amp;"|"&amp;L501,PD_TermStructure!$D$2:$D$241,0)),0))</f>
        <v>0.999969</v>
      </c>
      <c r="N501" s="22" t="n">
        <f aca="false">(1+E501/100)^(-(L501/12)/2)</f>
        <v>0.880704213694597</v>
      </c>
      <c r="O501" s="32" t="n">
        <f aca="false">IF(H501&lt;=0,0,M501*Assumptions!$B$3*H501*N501)</f>
        <v>541456.798393625</v>
      </c>
      <c r="P501" s="25" t="n">
        <v>541456.8</v>
      </c>
      <c r="Q501" s="32" t="n">
        <f aca="false">O501-P501</f>
        <v>-0.00160637509543449</v>
      </c>
    </row>
    <row r="502" customFormat="false" ht="15" hidden="false" customHeight="false" outlineLevel="0" collapsed="false">
      <c r="A502" s="14" t="s">
        <v>672</v>
      </c>
      <c r="B502" s="14" t="n">
        <v>1</v>
      </c>
      <c r="C502" s="14" t="s">
        <v>155</v>
      </c>
      <c r="D502" s="14" t="n">
        <v>45</v>
      </c>
      <c r="E502" s="14" t="n">
        <v>11.79</v>
      </c>
      <c r="F502" s="31" t="n">
        <v>0.0153</v>
      </c>
      <c r="G502" s="31" t="n">
        <v>0.5266</v>
      </c>
      <c r="H502" s="25" t="n">
        <v>799816.3</v>
      </c>
      <c r="I502" s="25" t="n">
        <v>6444.1</v>
      </c>
      <c r="J502" s="32" t="n">
        <f aca="false">F502*G502*H502</f>
        <v>6444.103932774</v>
      </c>
      <c r="K502" s="32" t="n">
        <f aca="false">J502-I502</f>
        <v>0.00393277399871295</v>
      </c>
      <c r="L502" s="28" t="n">
        <f aca="false">IF(B502=1,12,IF(B502=2,MIN(MAX(D502,1),60),6))</f>
        <v>12</v>
      </c>
      <c r="M502" s="11" t="n">
        <f aca="false">IF(B502=3,1,IFERROR(INDEX(PD_TermStructure!$C$2:$C$241,MATCH(C502&amp;"|"&amp;L502,PD_TermStructure!$D$2:$D$241,0)),0))</f>
        <v>0.164153</v>
      </c>
      <c r="N502" s="22" t="n">
        <f aca="false">(1+E502/100)^(-(L502/12)/2)</f>
        <v>0.945798284438855</v>
      </c>
      <c r="O502" s="32" t="n">
        <f aca="false">IF(H502&lt;=0,0,M502*Assumptions!$B$3*H502*N502)</f>
        <v>51498.209285866</v>
      </c>
      <c r="P502" s="25" t="n">
        <v>51498.21</v>
      </c>
      <c r="Q502" s="32" t="n">
        <f aca="false">O502-P502</f>
        <v>-0.000714134046575055</v>
      </c>
    </row>
    <row r="503" customFormat="false" ht="15" hidden="false" customHeight="false" outlineLevel="0" collapsed="false">
      <c r="A503" s="14" t="s">
        <v>673</v>
      </c>
      <c r="B503" s="14" t="n">
        <v>1</v>
      </c>
      <c r="C503" s="14" t="s">
        <v>154</v>
      </c>
      <c r="D503" s="14" t="n">
        <v>43</v>
      </c>
      <c r="E503" s="14" t="n">
        <v>14.46</v>
      </c>
      <c r="F503" s="31" t="n">
        <v>0.0244</v>
      </c>
      <c r="G503" s="31" t="n">
        <v>0.5097</v>
      </c>
      <c r="H503" s="25" t="n">
        <v>699255.26</v>
      </c>
      <c r="I503" s="25" t="n">
        <v>8696.41</v>
      </c>
      <c r="J503" s="32" t="n">
        <f aca="false">F503*G503*H503</f>
        <v>8696.4139069368</v>
      </c>
      <c r="K503" s="32" t="n">
        <f aca="false">J503-I503</f>
        <v>0.00390693680128607</v>
      </c>
      <c r="L503" s="28" t="n">
        <f aca="false">IF(B503=1,12,IF(B503=2,MIN(MAX(D503,1),60),6))</f>
        <v>12</v>
      </c>
      <c r="M503" s="11" t="n">
        <f aca="false">IF(B503=3,1,IFERROR(INDEX(PD_TermStructure!$C$2:$C$241,MATCH(C503&amp;"|"&amp;L503,PD_TermStructure!$D$2:$D$241,0)),0))</f>
        <v>0.109872</v>
      </c>
      <c r="N503" s="22" t="n">
        <f aca="false">(1+E503/100)^(-(L503/12)/2)</f>
        <v>0.934701908002409</v>
      </c>
      <c r="O503" s="32" t="n">
        <f aca="false">IF(H503&lt;=0,0,M503*Assumptions!$B$3*H503*N503)</f>
        <v>29781.7649950144</v>
      </c>
      <c r="P503" s="25" t="n">
        <v>29781.76</v>
      </c>
      <c r="Q503" s="32" t="n">
        <f aca="false">O503-P503</f>
        <v>0.00499501442391193</v>
      </c>
    </row>
    <row r="504" customFormat="false" ht="15" hidden="false" customHeight="false" outlineLevel="0" collapsed="false">
      <c r="A504" s="14" t="s">
        <v>674</v>
      </c>
      <c r="B504" s="14" t="n">
        <v>1</v>
      </c>
      <c r="C504" s="14" t="s">
        <v>154</v>
      </c>
      <c r="D504" s="14" t="n">
        <v>2</v>
      </c>
      <c r="E504" s="14" t="n">
        <v>7.72</v>
      </c>
      <c r="F504" s="31" t="n">
        <v>0.0222</v>
      </c>
      <c r="G504" s="31" t="n">
        <v>0.5362</v>
      </c>
      <c r="H504" s="25" t="n">
        <v>43595.51</v>
      </c>
      <c r="I504" s="25" t="n">
        <v>518.95</v>
      </c>
      <c r="J504" s="32" t="n">
        <f aca="false">F504*G504*H504</f>
        <v>518.9452566564</v>
      </c>
      <c r="K504" s="32" t="n">
        <f aca="false">J504-I504</f>
        <v>-0.00474334360001194</v>
      </c>
      <c r="L504" s="28" t="n">
        <f aca="false">IF(B504=1,12,IF(B504=2,MIN(MAX(D504,1),60),6))</f>
        <v>12</v>
      </c>
      <c r="M504" s="11" t="n">
        <f aca="false">IF(B504=3,1,IFERROR(INDEX(PD_TermStructure!$C$2:$C$241,MATCH(C504&amp;"|"&amp;L504,PD_TermStructure!$D$2:$D$241,0)),0))</f>
        <v>0.109872</v>
      </c>
      <c r="N504" s="22" t="n">
        <f aca="false">(1+E504/100)^(-(L504/12)/2)</f>
        <v>0.963500241019616</v>
      </c>
      <c r="O504" s="32" t="n">
        <f aca="false">IF(H504&lt;=0,0,M504*Assumptions!$B$3*H504*N504)</f>
        <v>1913.97011080125</v>
      </c>
      <c r="P504" s="25" t="n">
        <v>1913.97</v>
      </c>
      <c r="Q504" s="32" t="n">
        <f aca="false">O504-P504</f>
        <v>0.000110801253413229</v>
      </c>
    </row>
    <row r="505" customFormat="false" ht="15" hidden="false" customHeight="false" outlineLevel="0" collapsed="false">
      <c r="A505" s="14" t="s">
        <v>675</v>
      </c>
      <c r="B505" s="14" t="n">
        <v>1</v>
      </c>
      <c r="C505" s="14" t="s">
        <v>155</v>
      </c>
      <c r="D505" s="14" t="n">
        <v>70</v>
      </c>
      <c r="E505" s="14" t="n">
        <v>12.3</v>
      </c>
      <c r="F505" s="31" t="n">
        <v>0.0172</v>
      </c>
      <c r="G505" s="31" t="n">
        <v>0.6181</v>
      </c>
      <c r="H505" s="25" t="n">
        <v>1457447.03</v>
      </c>
      <c r="I505" s="25" t="n">
        <v>15494.59</v>
      </c>
      <c r="J505" s="32" t="n">
        <f aca="false">F505*G505*H505</f>
        <v>15494.5857589796</v>
      </c>
      <c r="K505" s="32" t="n">
        <f aca="false">J505-I505</f>
        <v>-0.00424102040051366</v>
      </c>
      <c r="L505" s="28" t="n">
        <f aca="false">IF(B505=1,12,IF(B505=2,MIN(MAX(D505,1),60),6))</f>
        <v>12</v>
      </c>
      <c r="M505" s="11" t="n">
        <f aca="false">IF(B505=3,1,IFERROR(INDEX(PD_TermStructure!$C$2:$C$241,MATCH(C505&amp;"|"&amp;L505,PD_TermStructure!$D$2:$D$241,0)),0))</f>
        <v>0.164153</v>
      </c>
      <c r="N505" s="22" t="n">
        <f aca="false">(1+E505/100)^(-(L505/12)/2)</f>
        <v>0.94364821312477</v>
      </c>
      <c r="O505" s="32" t="n">
        <f aca="false">IF(H505&lt;=0,0,M505*Assumptions!$B$3*H505*N505)</f>
        <v>93628.1099988423</v>
      </c>
      <c r="P505" s="25" t="n">
        <v>93628.11</v>
      </c>
      <c r="Q505" s="32" t="n">
        <f aca="false">O505-P505</f>
        <v>-1.15772127173841E-006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2026-10-06T11:18:58Z</dcterms:created>
  <dc:creator>openpyxl</dc:creator>
  <dc:description/>
  <dc:language>en-US</dc:language>
  <cp:lastModifiedBy/>
  <dcterms:modified xsi:type="dcterms:W3CDTF">2026-10-06T11:18:58Z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